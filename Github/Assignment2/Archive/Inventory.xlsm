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530" codeName="{4D1C537B-E38A-612A-F078-A93A15B4B7F4}"/>
  <workbookPr filterPrivacy="1" codeName="ThisWorkbook"/>
  <xr:revisionPtr revIDLastSave="0" documentId="13_ncr:11_{8277EB8A-9287-439D-A7E8-EBF377DE400C}" xr6:coauthVersionLast="46" xr6:coauthVersionMax="46" xr10:uidLastSave="{00000000-0000-0000-0000-000000000000}"/>
  <bookViews>
    <workbookView xWindow="30075" yWindow="-120" windowWidth="27645" windowHeight="16440" tabRatio="707" activeTab="1" xr2:uid="{00000000-000D-0000-FFFF-FFFF00000000}"/>
  </bookViews>
  <sheets>
    <sheet name="Start" sheetId="12" r:id="rId1"/>
    <sheet name="Inventory List" sheetId="2" r:id="rId2"/>
    <sheet name="Inventory Pick List" sheetId="11" r:id="rId3"/>
    <sheet name="Lookup" sheetId="9" r:id="rId4"/>
    <sheet name="Navigation Links" sheetId="14" r:id="rId5"/>
    <sheet name="Conditional Formatting" sheetId="15" r:id="rId6"/>
    <sheet name="Icon Sets" sheetId="16" r:id="rId7"/>
    <sheet name="Learn More" sheetId="13" r:id="rId8"/>
  </sheets>
  <definedNames>
    <definedName name="BinNumber">BinLookup[BIN '#]</definedName>
    <definedName name="ColumnTitle1">InventoryList[[#Headers],[SKU]]</definedName>
    <definedName name="ColumnTitle2">InventoryPickList[[#Headers],[ORDER '#]]</definedName>
    <definedName name="ColumnTitle3">BinLookup[[#Headers],[BIN '#]]</definedName>
    <definedName name="_xlnm.Print_Titles" localSheetId="1">'Inventory List'!$4:$4</definedName>
    <definedName name="_xlnm.Print_Titles" localSheetId="2">'Inventory Pick List'!$4:$4</definedName>
    <definedName name="_xlnm.Print_Titles" localSheetId="3">Lookup!$4:$4</definedName>
    <definedName name="SKULookup">InventoryList[SKU]</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9" i="11" l="1"/>
  <c r="H8" i="11"/>
  <c r="H7" i="11"/>
  <c r="H6" i="11"/>
  <c r="H5" i="11"/>
  <c r="G9" i="11"/>
  <c r="G8" i="11"/>
  <c r="G7" i="11"/>
  <c r="G6" i="11"/>
  <c r="G5" i="11"/>
  <c r="F9" i="11"/>
  <c r="F8" i="11"/>
  <c r="F7" i="11"/>
  <c r="F6" i="11"/>
  <c r="F5" i="11"/>
  <c r="E9" i="11"/>
  <c r="E8" i="11"/>
  <c r="E7" i="11"/>
  <c r="E6" i="11"/>
  <c r="E5" i="11"/>
  <c r="K15" i="2" l="1"/>
  <c r="K14" i="2"/>
  <c r="K12" i="2"/>
  <c r="K11" i="2"/>
  <c r="K10" i="2"/>
  <c r="K9" i="2"/>
  <c r="K8" i="2"/>
  <c r="K7" i="2"/>
  <c r="K6" i="2"/>
  <c r="K5" i="2"/>
  <c r="K13" i="2"/>
  <c r="J15" i="2" l="1"/>
  <c r="E15" i="2"/>
  <c r="J14" i="2"/>
  <c r="E14" i="2"/>
  <c r="I8" i="11" s="1"/>
  <c r="J13" i="2"/>
  <c r="E13" i="2"/>
  <c r="J12" i="2"/>
  <c r="E12" i="2"/>
  <c r="J11" i="2"/>
  <c r="E11" i="2"/>
  <c r="I7" i="11" s="1"/>
  <c r="J10" i="2"/>
  <c r="E10" i="2"/>
  <c r="J9" i="2"/>
  <c r="E9" i="2"/>
  <c r="J8" i="2"/>
  <c r="E8" i="2"/>
  <c r="I6" i="11" s="1"/>
  <c r="J7" i="2"/>
  <c r="E7" i="2"/>
  <c r="I9" i="11" s="1"/>
  <c r="J6" i="2"/>
  <c r="E6" i="2"/>
  <c r="J5" i="2"/>
  <c r="E5" i="2"/>
  <c r="I5" i="11" s="1"/>
  <c r="C3" i="2"/>
  <c r="D3" i="2"/>
  <c r="B3" i="2" l="1"/>
</calcChain>
</file>

<file path=xl/sharedStrings.xml><?xml version="1.0" encoding="utf-8"?>
<sst xmlns="http://schemas.openxmlformats.org/spreadsheetml/2006/main" count="190" uniqueCount="141">
  <si>
    <t>SKU</t>
  </si>
  <si>
    <t>T345</t>
  </si>
  <si>
    <t>T5789</t>
  </si>
  <si>
    <t>T9876</t>
  </si>
  <si>
    <t>T098</t>
  </si>
  <si>
    <t>T349</t>
  </si>
  <si>
    <t>T9875</t>
  </si>
  <si>
    <t>Large bin</t>
  </si>
  <si>
    <t>Small bin</t>
  </si>
  <si>
    <t>Medium bin</t>
  </si>
  <si>
    <t>Row 2, slot 1</t>
  </si>
  <si>
    <t>Row 3, slot 2</t>
  </si>
  <si>
    <t>Row 4, slot 5</t>
  </si>
  <si>
    <t>Row 3, slot 1</t>
  </si>
  <si>
    <t>Row 1, slot 1</t>
  </si>
  <si>
    <t>Row 1, slot 2</t>
  </si>
  <si>
    <t>Row 2, slot 2</t>
  </si>
  <si>
    <t>Each</t>
  </si>
  <si>
    <t>TS3456</t>
  </si>
  <si>
    <t>Box (10 ct)</t>
  </si>
  <si>
    <t>Package (5 ct)</t>
  </si>
  <si>
    <t>SP7875</t>
  </si>
  <si>
    <t>TR87680</t>
  </si>
  <si>
    <t>MK676554</t>
  </si>
  <si>
    <t>YE98767</t>
  </si>
  <si>
    <t>XR23423</t>
  </si>
  <si>
    <t>PW98762</t>
  </si>
  <si>
    <t>BM87684</t>
  </si>
  <si>
    <t>BH67655</t>
  </si>
  <si>
    <t>WT98768</t>
  </si>
  <si>
    <t>TP001-1</t>
  </si>
  <si>
    <t>TOTAL INVENTORY VALUE:</t>
  </si>
  <si>
    <t>BIN COUNT:</t>
  </si>
  <si>
    <t>INVENTORY ITEMS:</t>
  </si>
  <si>
    <t>DESCRIPTION</t>
  </si>
  <si>
    <t>BIN #</t>
  </si>
  <si>
    <t>LOCATION</t>
  </si>
  <si>
    <t>UNIT</t>
  </si>
  <si>
    <t>QTY</t>
  </si>
  <si>
    <t>REORDER QTY</t>
  </si>
  <si>
    <t>COST</t>
  </si>
  <si>
    <t>INVENTORY VALUE</t>
  </si>
  <si>
    <t>REORDER</t>
  </si>
  <si>
    <t>WDG123</t>
  </si>
  <si>
    <t>INVENTORY PICK LIST</t>
  </si>
  <si>
    <t>WIDTH</t>
  </si>
  <si>
    <t>HEIGHT</t>
  </si>
  <si>
    <t>LENGTH</t>
  </si>
  <si>
    <t>BIN LOOKUP</t>
  </si>
  <si>
    <t>ORDER #</t>
  </si>
  <si>
    <t>PICK QTY</t>
  </si>
  <si>
    <t>QTY AVAILABLE</t>
  </si>
  <si>
    <t>ITEM DESCRIPTION</t>
  </si>
  <si>
    <t>INVENTORY LIST</t>
  </si>
  <si>
    <t>Learn More</t>
  </si>
  <si>
    <t>Inventory Pick List worksheet</t>
  </si>
  <si>
    <t>It takes several steps for accessible users to access a shape with a link. There are a few ways we make that easier for them.</t>
  </si>
  <si>
    <t xml:space="preserve">Conditional formatting is not an accessible feature but is highly leveraged when developing visually appealing templates. To help accessible users understand when conditional formats have been used, more annotations must be made. </t>
  </si>
  <si>
    <t>Inventory List worksheet</t>
  </si>
  <si>
    <t>Lookup worksheet</t>
  </si>
  <si>
    <t>Navigation Links</t>
  </si>
  <si>
    <t>Conditional Formatting</t>
  </si>
  <si>
    <t>Icon Sets</t>
  </si>
  <si>
    <t>LOOKUP</t>
  </si>
  <si>
    <t>Image of 2 navigation links</t>
  </si>
  <si>
    <t xml:space="preserve">
Navigation links help users get to information within a workbook, quickly. People who use screen readers sometimes scan a list of links. Links should convey clear and accurate information about the destination. </t>
  </si>
  <si>
    <t>Give links meaningful names. Inventory List worksheet uses 2 navigation links: "Inventory Pick List" and "Lookup". See navigation link sample image in cell F3.</t>
  </si>
  <si>
    <t>Accessible users find it helpful to call out important shapes like this in the worksheet. For instance, the A1 summary input message  indicates a navigation button exists and tells the user where it directs them to. See the A1 input message in Inventory List worksheet.</t>
  </si>
  <si>
    <t>Items for reordering are highlighted using conditional format in the image below. Two arrows indicate the rows highlighted in the image</t>
  </si>
  <si>
    <t xml:space="preserve">
Conditional formatting is useful to highlight data that matches a defined set of criteria. </t>
  </si>
  <si>
    <t>Image of column K from Inventory List</t>
  </si>
  <si>
    <t>An input message in table headings with icon sets within the row or column of the heading, help accessible users understand when an icon set is within a cell. See input message example in cell F7.</t>
  </si>
  <si>
    <t>A sample input message of column K from Inventory List</t>
  </si>
  <si>
    <t>The input message for column K from Inventory List worksheet in cell F7 has the following text: "A flag icon in this column indicates items in inventory ready for reordering".</t>
  </si>
  <si>
    <t>Heading cell of column K of Inventory List adds more context for the highlighting done within the table. For a visual user, a blank heading with icons only within the column is usable. However, to make this accessible, there must be text added.</t>
  </si>
  <si>
    <r>
      <rPr>
        <b/>
        <sz val="11"/>
        <color theme="1" tint="0.14996795556505021"/>
        <rFont val="Arial"/>
        <family val="2"/>
      </rPr>
      <t>Tip:</t>
    </r>
    <r>
      <rPr>
        <sz val="11"/>
        <color theme="1" tint="0.14996795556505021"/>
        <rFont val="Arial"/>
        <family val="2"/>
      </rPr>
      <t xml:space="preserve"> Sometimes decreasing the width of a column or making the heading text the same color as the background will hide the text to retain visual appeal.</t>
    </r>
  </si>
  <si>
    <t>After applying the conditional formatting, create a custom style called Icon Set. For the number setting, create a custom number format: "Reorder";"";"".</t>
  </si>
  <si>
    <t>Note this custom style has been applied to column K or Inventory worksheet.</t>
  </si>
  <si>
    <t xml:space="preserve">The text "Reorder" appears, along with the icon as in the sample image in cell F3. </t>
  </si>
  <si>
    <t>Tip: Sometimes decreasing the width of a column or making the heading text the same color as the background will hide the text to retain visual appeal.</t>
  </si>
  <si>
    <r>
      <rPr>
        <b/>
        <sz val="11"/>
        <color theme="1" tint="0.14996795556505021"/>
        <rFont val="Arial"/>
        <family val="2"/>
      </rPr>
      <t>Tip:</t>
    </r>
    <r>
      <rPr>
        <sz val="11"/>
        <color theme="1" tint="0.14996795556505021"/>
        <rFont val="Arial"/>
        <family val="2"/>
      </rPr>
      <t xml:space="preserve"> Sometimes the additional text isn't visual appealing. Similar to hiding heading text, a custom style can be created and applied to the column to hide the text in the data cells.</t>
    </r>
  </si>
  <si>
    <t>Learn how to use navigation links in an accessible template. Accessible instructions continue in column A. Press UP or DOWN ARROW in column A to read through the document. Press CTRL+PG DOWN to go to the next worksheet.</t>
  </si>
  <si>
    <t>Learn how to use conditional formatting in an accessible template. Accessible instructions continue in column A. Press UP or DOWN ARROW in column A to read through the document. Press CTRL+PG DOWN to go to the next worksheet.</t>
  </si>
  <si>
    <t>Learn how to use icon sets in an accessible template. Accessible instructions continue in column A. Press UP or DOWN ARROW in column A to read through the document. Press CTRL+PG DOWN to go to the next worksheet.</t>
  </si>
  <si>
    <t>Title: Navigation Links</t>
  </si>
  <si>
    <t xml:space="preserve">Overview: Navigation links help users get to information within a workbook, quickly. People who use screen readers sometimes scan a list of links. Links should convey clear and accurate information about the destination. </t>
  </si>
  <si>
    <t>1. Give links meaningful names. Inventory List worksheet uses 2 navigation links: "Inventory Pick List" and "Lookup". See navigation link sample image in cell F3.</t>
  </si>
  <si>
    <t>3. Accessible users find it helpful to call out important shapes like this in the worksheet. For instance, the A1 summary input message  indicates a navigation button exists and tells the user where it directs them to. See the A1 input message in Inventory List worksheet.</t>
  </si>
  <si>
    <t>4. It takes several steps for accessible users to access a shape with a link. There are a few ways we make that easier for them.</t>
  </si>
  <si>
    <t>Title: Conditional Formatting</t>
  </si>
  <si>
    <t xml:space="preserve">Overview: Conditional formatting is useful to highlight data that matches a defined set of criteria. </t>
  </si>
  <si>
    <t xml:space="preserve">1. Conditional formatting is not an accessible feature but is highly leveraged when developing visually appealing templates. To help accessible users understand when conditional formats have been used, more annotations must be made. </t>
  </si>
  <si>
    <t>Title: Icon Sets</t>
  </si>
  <si>
    <t>2. An input message in table headings with icon sets within the row or column of the heading, help accessible users understand when an icon set is within a cell. See input message example in cell F7.</t>
  </si>
  <si>
    <t>3. Heading cell of column K of Inventory List adds more context for the highlighting done within the table. For a visual user, a blank heading with icons only within the column is usable. However, to make this accessible, there must be text added.</t>
  </si>
  <si>
    <t>4. When making accessible templates that contain icon sets, be sure to deselect to show icon only within the conditional formatting options.</t>
  </si>
  <si>
    <t>5. After applying the conditional formatting, create a custom style called Icon Set. For the number setting, create a custom number format: "Reorder";"";"".</t>
  </si>
  <si>
    <t>Tip: Sometimes the additional text isn't visual appealing. Similar to hiding heading text, a custom style can be created and applied to the column to hide the text in the data cells.</t>
  </si>
  <si>
    <t>How to make Excel spreadsheets accessible</t>
  </si>
  <si>
    <t>Title: More questions about accessibility?</t>
  </si>
  <si>
    <t>Excel logo is in cell B12, Inventory List image and navigation button to Inventory List worksheet is in cell C12.</t>
  </si>
  <si>
    <t>Add screen tip text that describes, in brief, what will happen when that link is selected. See screen text sample image in cell F5.</t>
  </si>
  <si>
    <t>2. Add screen tip text that describes, in brief, what will happen when that link is selected. See screen text sample image in cell F5.</t>
  </si>
  <si>
    <t>Cell F3 adds more context for the highlighting done within the table image.</t>
  </si>
  <si>
    <t>3. Cell F3 adds more context for the highlighting done within the table image.</t>
  </si>
  <si>
    <t>Icon sets are useful to highlight data that matches a defined set of criteria but whenever possible must be accompanied by text as in the Reorder example image in cell F3.</t>
  </si>
  <si>
    <t>1. Icon sets are useful to highlight data that matches a defined set of criteria but whenever possible must be accompanied by text as in the Reorder example image in cell F3.</t>
  </si>
  <si>
    <t>4.5 Add the exact same link and screen tip text to the cell as in the shape.</t>
  </si>
  <si>
    <t>4.6 Hide the text by modifying the Hyperlink cell style or creating a custom style such that the font color is the same as the background color. Make sure both Hyperlink and Followed Hyperlink cell styles match.</t>
  </si>
  <si>
    <r>
      <rPr>
        <b/>
        <sz val="11"/>
        <color theme="1" tint="0.14996795556505021"/>
        <rFont val="Arial"/>
        <family val="2"/>
      </rPr>
      <t xml:space="preserve">4.2 </t>
    </r>
    <r>
      <rPr>
        <sz val="11"/>
        <color theme="1" tint="0.14996795556505021"/>
        <rFont val="Arial"/>
        <family val="2"/>
      </rPr>
      <t xml:space="preserve">Add text to the cell with the shape that mirrors the text in the shape. </t>
    </r>
  </si>
  <si>
    <r>
      <rPr>
        <b/>
        <sz val="11"/>
        <color theme="1" tint="0.14996795556505021"/>
        <rFont val="Arial"/>
        <family val="2"/>
      </rPr>
      <t>4.3</t>
    </r>
    <r>
      <rPr>
        <sz val="11"/>
        <color theme="1" tint="0.14996795556505021"/>
        <rFont val="Arial"/>
        <family val="2"/>
      </rPr>
      <t xml:space="preserve"> Make the text hyperlinked and align entirely behind shape.</t>
    </r>
  </si>
  <si>
    <r>
      <rPr>
        <b/>
        <sz val="11"/>
        <color theme="1" tint="0.14996795556505021"/>
        <rFont val="Arial"/>
        <family val="2"/>
      </rPr>
      <t>4.4</t>
    </r>
    <r>
      <rPr>
        <sz val="11"/>
        <color theme="1" tint="0.14996795556505021"/>
        <rFont val="Arial"/>
        <family val="2"/>
      </rPr>
      <t xml:space="preserve"> Add an input message that says there is a navigation link in this cell.</t>
    </r>
  </si>
  <si>
    <r>
      <rPr>
        <b/>
        <sz val="11"/>
        <color theme="1" tint="0.14996795556505021"/>
        <rFont val="Arial"/>
        <family val="2"/>
      </rPr>
      <t>4.5</t>
    </r>
    <r>
      <rPr>
        <sz val="11"/>
        <color theme="1" tint="0.14996795556505021"/>
        <rFont val="Arial"/>
        <family val="2"/>
      </rPr>
      <t xml:space="preserve"> Add the exact same link and screen tip text to the cell as in the shape.</t>
    </r>
  </si>
  <si>
    <r>
      <rPr>
        <b/>
        <sz val="11"/>
        <color theme="1" tint="0.14996795556505021"/>
        <rFont val="Arial"/>
        <family val="2"/>
      </rPr>
      <t>4.6</t>
    </r>
    <r>
      <rPr>
        <sz val="11"/>
        <color theme="1" tint="0.14996795556505021"/>
        <rFont val="Arial"/>
        <family val="2"/>
      </rPr>
      <t xml:space="preserve"> Hide the text by modifying the Hyperlink cell style or creating a custom style such that the font color is the same as the background color. Make sure both Hyperlink and Followed Hyperlink cell styles match.</t>
    </r>
  </si>
  <si>
    <t>4.2 Add text to the cell with the shape that mirrors the text in the shape.</t>
  </si>
  <si>
    <t>4.3 Make the text hyperlinked and align entirely behind shape.</t>
  </si>
  <si>
    <t>4.4 Add an input message that says there is a navigation link in this cell</t>
  </si>
  <si>
    <t>To help accessible users understand when conditional formats have been used, use annotations.</t>
  </si>
  <si>
    <t>4. To help accessible users understand when conditional formats have been used, use annotations.</t>
  </si>
  <si>
    <t>Do not refer to colors when indicating items that are highlighted. If you must mention a color, include the RGB values with the color reference.</t>
  </si>
  <si>
    <t>5. Do not refer to colors when indicating items that are highlighted. If you must mention a color, include the RGB values with the color reference.</t>
  </si>
  <si>
    <r>
      <t xml:space="preserve">When making accessible templates that contain icon sets, be sure to deselect to </t>
    </r>
    <r>
      <rPr>
        <b/>
        <sz val="11"/>
        <color rgb="FF217346"/>
        <rFont val="Arial"/>
        <family val="2"/>
      </rPr>
      <t>Show Icon Only</t>
    </r>
    <r>
      <rPr>
        <sz val="11"/>
        <color theme="1" tint="0.14996795556505021"/>
        <rFont val="Arial"/>
        <family val="2"/>
      </rPr>
      <t xml:space="preserve"> within the conditional formatting options.</t>
    </r>
  </si>
  <si>
    <t>Learn how to create an accessible template in this worksheet using an Inventory List as an example. Each worksheet has accessible descriptions in column A, except Inventory List, Inventory Pick List and Lookup worksheets. These accessible instructions help users navigate the tutorial, but are not commonly used when creating templates. Columns B and C contain non-accessible descriptions. Column E contains images or data relevant to the worksheet topic. This worksheet has a title, subtitle and table of contents for all tabs in this workbook. Cell B11 has the Excel logo, cells C3 through C11 has an image of the accessible Invoice template and cell C11 has a navigation button that links to the Invoice worksheet to get started.
Press UP or DOWN ARROW in column A to read through the document. Press CTRL+PG DOWN to go to the next worksheet.</t>
  </si>
  <si>
    <t xml:space="preserve">Contents. Navigate through each item listed below to learn how this sample Inventory List was made accessible, starting with the accessible Inventory List in the Inventory List worksheet. Inventory list template has 3 worksheets: Inventory List, Inventory Pick List and Lookup. The other worksheets describe how the template was made accessible. </t>
  </si>
  <si>
    <t>Title: Sample Inventory List accessible template.  Descriptions for how this invoice was made accessible are outlined beneath the Contents, in this column.</t>
  </si>
  <si>
    <t xml:space="preserve">Learn more about how to create an accessible template through the links on this worksheet. Accessible instructions continue in column A.  Press UP or DOWN ARROW in column A to read through the document. </t>
  </si>
  <si>
    <r>
      <rPr>
        <b/>
        <sz val="11"/>
        <color theme="1" tint="0.14996795556505021"/>
        <rFont val="Arial"/>
        <family val="2"/>
      </rPr>
      <t>4.1</t>
    </r>
    <r>
      <rPr>
        <sz val="11"/>
        <color theme="1" tint="0.14996795556505021"/>
        <rFont val="Arial"/>
        <family val="2"/>
      </rPr>
      <t xml:space="preserve"> Make sure the shape fits entirely within a cell block (e.g. cell E2 of Inventory List worksheet). </t>
    </r>
  </si>
  <si>
    <t xml:space="preserve">4.1 Make sure the shape fits entirely within a cell block (e.g. cell E2 of Inventory List worksheet). </t>
  </si>
  <si>
    <t xml:space="preserve">
 Icon sets as a part of conditional formatting are not an accessible feature but are highly leveraged when developing visually appealing templates. To help accessible users understand when icon sets have been used, use annotations.</t>
  </si>
  <si>
    <t>Overview:  Icon sets as a part of conditional formatting are not an accessible feature but are highly leveraged when developing visually appealing templates. To help accessible users understand when icon sets have been used, use annotations.</t>
  </si>
  <si>
    <t>Battery (AA)</t>
  </si>
  <si>
    <t>Battery (AAA)</t>
  </si>
  <si>
    <t>Monitor</t>
  </si>
  <si>
    <t>Keyboard</t>
  </si>
  <si>
    <t>Mouse</t>
  </si>
  <si>
    <t>Mouse Pad</t>
  </si>
  <si>
    <t>Monitor Stand</t>
  </si>
  <si>
    <t>Webcam</t>
  </si>
  <si>
    <t>Pen, Black</t>
  </si>
  <si>
    <t>Pen, Red</t>
  </si>
  <si>
    <t>Pen, Blue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</si>
</sst>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quot;$&quot;#,##0.00_);\(&quot;$&quot;#,##0.00\)"/>
    <numFmt numFmtId="165" formatCode="&quot;$&quot;#,##0.00"/>
    <numFmt numFmtId="166" formatCode="&quot;Reorder&quot;;&quot;&quot;;&quot;&quot;"/>
    <numFmt numFmtId="167" formatCode="&quot;&quot;;&quot;&quot;;&quot;Clear Pick List Selected in B2&quot;"/>
    <numFmt numFmtId="168" formatCode="&quot;Pick List was cleared&quot;;&quot;&quot;;&quot;Pick List was not cleared&quot;"/>
    <numFmt numFmtId="169" formatCode="0."/>
  </numFmts>
  <fonts count="19" x14ac:knownFonts="1">
    <font>
      <sz val="11"/>
      <color theme="3" tint="0.14993743705557422"/>
      <name val="Franklin Gothic Medium"/>
      <family val="2"/>
      <scheme val="minor"/>
    </font>
    <font>
      <i/>
      <sz val="10"/>
      <color theme="1"/>
      <name val="Franklin Gothic Medium"/>
      <family val="2"/>
      <scheme val="minor"/>
    </font>
    <font>
      <b/>
      <sz val="26"/>
      <color theme="3" tint="0.14996795556505021"/>
      <name val="Franklin Gothic Medium"/>
      <family val="2"/>
      <scheme val="major"/>
    </font>
    <font>
      <sz val="11"/>
      <color theme="3"/>
      <name val="Franklin Gothic Medium"/>
      <family val="2"/>
      <scheme val="major"/>
    </font>
    <font>
      <b/>
      <sz val="11"/>
      <color theme="1"/>
      <name val="Franklin Gothic Medium"/>
      <family val="2"/>
      <scheme val="minor"/>
    </font>
    <font>
      <sz val="11"/>
      <color theme="3"/>
      <name val="Franklin Gothic Medium"/>
      <family val="2"/>
      <scheme val="minor"/>
    </font>
    <font>
      <sz val="16"/>
      <color theme="4" tint="-0.499984740745262"/>
      <name val="Franklin Gothic Medium"/>
      <family val="2"/>
      <scheme val="major"/>
    </font>
    <font>
      <sz val="11"/>
      <color theme="3" tint="0.14993743705557422"/>
      <name val="Franklin Gothic Medium"/>
      <family val="2"/>
      <scheme val="minor"/>
    </font>
    <font>
      <sz val="11"/>
      <color theme="0"/>
      <name val="Franklin Gothic Medium"/>
      <family val="2"/>
      <scheme val="minor"/>
    </font>
    <font>
      <sz val="11"/>
      <color theme="0"/>
      <name val="Franklin Gothic Medium"/>
      <family val="2"/>
      <scheme val="major"/>
    </font>
    <font>
      <sz val="11"/>
      <color theme="4" tint="-0.499984740745262"/>
      <name val="Franklin Gothic Medium"/>
      <family val="2"/>
      <scheme val="minor"/>
    </font>
    <font>
      <sz val="11"/>
      <color theme="3" tint="0.14990691854609822"/>
      <name val="Franklin Gothic Medium"/>
      <family val="2"/>
      <scheme val="minor"/>
    </font>
    <font>
      <sz val="26"/>
      <color theme="1" tint="0.14996795556505021"/>
      <name val="Arial"/>
      <family val="2"/>
    </font>
    <font>
      <sz val="12"/>
      <color theme="1" tint="0.14990691854609822"/>
      <name val="Arial"/>
      <family val="2"/>
    </font>
    <font>
      <b/>
      <sz val="12"/>
      <color rgb="FF217346"/>
      <name val="Arial"/>
      <family val="2"/>
    </font>
    <font>
      <sz val="12"/>
      <color theme="0"/>
      <name val="Arial"/>
      <family val="2"/>
    </font>
    <font>
      <sz val="11"/>
      <color theme="1" tint="0.14996795556505021"/>
      <name val="Arial"/>
      <family val="2"/>
    </font>
    <font>
      <b/>
      <sz val="11"/>
      <color theme="1" tint="0.14996795556505021"/>
      <name val="Arial"/>
      <family val="2"/>
    </font>
    <font>
      <b/>
      <sz val="11"/>
      <color rgb="FF217346"/>
      <name val="Arial"/>
      <family val="2"/>
    </font>
  </fonts>
  <fills count="4">
    <fill>
      <patternFill patternType="none"/>
    </fill>
    <fill>
      <patternFill patternType="gray125"/>
    </fill>
    <fill>
      <patternFill patternType="solid">
        <fgColor theme="4" tint="-0.499984740745262"/>
        <bgColor indexed="64"/>
      </patternFill>
    </fill>
    <fill>
      <patternFill patternType="solid">
        <fgColor theme="0" tint="-4.9989318521683403E-2"/>
        <bgColor indexed="64"/>
      </patternFill>
    </fill>
  </fills>
  <borders count="4">
    <border>
      <left/>
      <right/>
      <top/>
      <bottom/>
      <diagonal/>
    </border>
    <border>
      <left/>
      <right/>
      <top/>
      <bottom style="medium">
        <color theme="4" tint="-0.499984740745262"/>
      </bottom>
      <diagonal/>
    </border>
    <border>
      <left/>
      <right/>
      <top style="thin">
        <color theme="4" tint="-0.499984740745262"/>
      </top>
      <bottom style="double">
        <color theme="4" tint="-0.499984740745262"/>
      </bottom>
      <diagonal/>
    </border>
    <border>
      <left/>
      <right/>
      <top/>
      <bottom style="thick">
        <color rgb="FF217346"/>
      </bottom>
      <diagonal/>
    </border>
  </borders>
  <cellStyleXfs count="21">
    <xf numFmtId="0" fontId="0" fillId="0" borderId="0">
      <alignment vertical="center"/>
    </xf>
    <xf numFmtId="0" fontId="2" fillId="0" borderId="1" applyNumberFormat="0" applyFill="0" applyAlignment="0" applyProtection="0"/>
    <xf numFmtId="0" fontId="9" fillId="2" borderId="0" applyNumberFormat="0" applyProtection="0">
      <alignment horizontal="left" vertical="center" indent="1"/>
    </xf>
    <xf numFmtId="0" fontId="3" fillId="0" borderId="0" applyNumberFormat="0" applyFill="0" applyBorder="0" applyAlignment="0" applyProtection="0"/>
    <xf numFmtId="0" fontId="5" fillId="0" borderId="1" applyNumberFormat="0" applyFill="0" applyAlignment="0" applyProtection="0"/>
    <xf numFmtId="0" fontId="5" fillId="0" borderId="0" applyNumberFormat="0" applyFill="0" applyBorder="0" applyAlignment="0" applyProtection="0"/>
    <xf numFmtId="0" fontId="4" fillId="0" borderId="2" applyNumberFormat="0" applyFill="0" applyAlignment="0" applyProtection="0"/>
    <xf numFmtId="166" fontId="11" fillId="0" borderId="0">
      <alignment horizontal="center" vertical="center"/>
    </xf>
    <xf numFmtId="0" fontId="8" fillId="2" borderId="0" applyNumberFormat="0" applyProtection="0">
      <alignment horizontal="right" indent="1"/>
    </xf>
    <xf numFmtId="0" fontId="10" fillId="0" borderId="0" applyNumberFormat="0" applyProtection="0">
      <alignment horizontal="center"/>
    </xf>
    <xf numFmtId="0" fontId="10" fillId="0" borderId="0" applyNumberFormat="0" applyProtection="0">
      <alignment horizontal="center"/>
    </xf>
    <xf numFmtId="0" fontId="6" fillId="0" borderId="0" applyNumberFormat="0" applyFill="0" applyBorder="0" applyProtection="0">
      <alignment horizontal="left" vertical="top"/>
    </xf>
    <xf numFmtId="0" fontId="7" fillId="0" borderId="0">
      <alignment horizontal="left" vertical="center" wrapText="1" indent="1"/>
    </xf>
    <xf numFmtId="1" fontId="7" fillId="0" borderId="0">
      <alignment horizontal="center" vertical="center"/>
    </xf>
    <xf numFmtId="164" fontId="7" fillId="0" borderId="0">
      <alignment horizontal="right" vertical="center"/>
    </xf>
    <xf numFmtId="0" fontId="8" fillId="0" borderId="0">
      <alignment wrapText="1"/>
    </xf>
    <xf numFmtId="0" fontId="12" fillId="3" borderId="3" applyProtection="0"/>
    <xf numFmtId="0" fontId="16" fillId="3" borderId="0">
      <alignment vertical="top" wrapText="1"/>
    </xf>
    <xf numFmtId="169" fontId="14" fillId="3" borderId="0">
      <alignment horizontal="center" vertical="top" wrapText="1"/>
    </xf>
    <xf numFmtId="0" fontId="15" fillId="0" borderId="0" applyNumberFormat="0" applyFill="0" applyBorder="0" applyAlignment="0"/>
    <xf numFmtId="0" fontId="13" fillId="0" borderId="0" applyNumberFormat="0" applyFont="0" applyFill="0" applyBorder="0">
      <alignment horizontal="left" vertical="center" wrapText="1"/>
    </xf>
  </cellStyleXfs>
  <cellXfs count="35">
    <xf numFmtId="0" fontId="0" fillId="0" borderId="0" xfId="0">
      <alignment vertical="center"/>
    </xf>
    <xf numFmtId="0" fontId="2" fillId="0" borderId="1" xfId="1" applyAlignment="1">
      <alignment vertical="center"/>
    </xf>
    <xf numFmtId="0" fontId="3" fillId="0" borderId="0" xfId="3"/>
    <xf numFmtId="0" fontId="2" fillId="0" borderId="1" xfId="1"/>
    <xf numFmtId="0" fontId="3" fillId="0" borderId="0" xfId="3" applyAlignment="1"/>
    <xf numFmtId="0" fontId="2" fillId="0" borderId="1" xfId="1" applyAlignment="1"/>
    <xf numFmtId="166" fontId="11" fillId="0" borderId="0" xfId="7">
      <alignment horizontal="center" vertical="center"/>
    </xf>
    <xf numFmtId="0" fontId="0" fillId="0" borderId="0" xfId="0" applyFont="1" applyFill="1" applyBorder="1" applyAlignment="1">
      <alignment horizontal="left" vertical="center" indent="1"/>
    </xf>
    <xf numFmtId="0" fontId="0" fillId="0" borderId="0" xfId="0" applyFont="1" applyFill="1" applyBorder="1" applyAlignment="1">
      <alignment horizontal="center"/>
    </xf>
    <xf numFmtId="0" fontId="9" fillId="2" borderId="0" xfId="2">
      <alignment horizontal="left" vertical="center" indent="1"/>
    </xf>
    <xf numFmtId="0" fontId="1" fillId="0" borderId="0" xfId="0" applyFont="1" applyAlignment="1">
      <alignment vertical="center"/>
    </xf>
    <xf numFmtId="0" fontId="10" fillId="0" borderId="0" xfId="9">
      <alignment horizontal="center"/>
    </xf>
    <xf numFmtId="165" fontId="6" fillId="0" borderId="0" xfId="11" applyNumberFormat="1">
      <alignment horizontal="left" vertical="top"/>
    </xf>
    <xf numFmtId="0" fontId="6" fillId="0" borderId="0" xfId="11">
      <alignment horizontal="left" vertical="top"/>
    </xf>
    <xf numFmtId="0" fontId="7" fillId="0" borderId="0" xfId="12">
      <alignment horizontal="left" vertical="center" wrapText="1" indent="1"/>
    </xf>
    <xf numFmtId="1" fontId="7" fillId="0" borderId="0" xfId="13">
      <alignment horizontal="center" vertical="center"/>
    </xf>
    <xf numFmtId="164" fontId="7" fillId="0" borderId="0" xfId="14">
      <alignment horizontal="right" vertical="center"/>
    </xf>
    <xf numFmtId="0" fontId="0" fillId="0" borderId="0" xfId="12" applyFont="1">
      <alignment horizontal="left" vertical="center" wrapText="1" indent="1"/>
    </xf>
    <xf numFmtId="167" fontId="0" fillId="0" borderId="0" xfId="0" applyNumberFormat="1">
      <alignment vertical="center"/>
    </xf>
    <xf numFmtId="168" fontId="0" fillId="0" borderId="0" xfId="0" applyNumberFormat="1">
      <alignment vertical="center"/>
    </xf>
    <xf numFmtId="0" fontId="8" fillId="0" borderId="0" xfId="15">
      <alignment wrapText="1"/>
    </xf>
    <xf numFmtId="0" fontId="0" fillId="0" borderId="0" xfId="0">
      <alignment vertical="center"/>
    </xf>
    <xf numFmtId="0" fontId="12" fillId="3" borderId="3" xfId="16"/>
    <xf numFmtId="0" fontId="0" fillId="0" borderId="0" xfId="0" applyBorder="1">
      <alignment vertical="center"/>
    </xf>
    <xf numFmtId="0" fontId="0" fillId="0" borderId="0" xfId="0">
      <alignment vertical="center"/>
    </xf>
    <xf numFmtId="0" fontId="16" fillId="3" borderId="0" xfId="17">
      <alignment vertical="top" wrapText="1"/>
    </xf>
    <xf numFmtId="0" fontId="0" fillId="0" borderId="0" xfId="0" applyBorder="1">
      <alignment vertical="center"/>
    </xf>
    <xf numFmtId="0" fontId="0" fillId="0" borderId="0" xfId="0">
      <alignment vertical="center"/>
    </xf>
    <xf numFmtId="0" fontId="0" fillId="0" borderId="0" xfId="0">
      <alignment vertical="center"/>
    </xf>
    <xf numFmtId="169" fontId="14" fillId="3" borderId="0" xfId="18">
      <alignment horizontal="center" vertical="top" wrapText="1"/>
    </xf>
    <xf numFmtId="0" fontId="0" fillId="0" borderId="0" xfId="0">
      <alignment vertical="center"/>
    </xf>
    <xf numFmtId="0" fontId="16" fillId="3" borderId="0" xfId="17">
      <alignment vertical="top" wrapText="1"/>
    </xf>
    <xf numFmtId="0" fontId="16" fillId="3" borderId="0" xfId="17">
      <alignment vertical="top" wrapText="1"/>
    </xf>
    <xf numFmtId="0" fontId="16" fillId="3" borderId="0" xfId="17">
      <alignment vertical="top" wrapText="1"/>
    </xf>
    <xf numFmtId="0" fontId="16" fillId="3" borderId="0" xfId="17">
      <alignment vertical="top" wrapText="1"/>
    </xf>
  </cellXfs>
  <cellStyles count="21">
    <cellStyle name="Flag Column" xfId="7" xr:uid="{00000000-0005-0000-0000-000000000000}"/>
    <cellStyle name="Followed Hyperlink" xfId="10" builtinId="9" customBuiltin="1"/>
    <cellStyle name="Heading 1" xfId="2" builtinId="16" customBuiltin="1"/>
    <cellStyle name="Heading 2" xfId="3" builtinId="17" customBuiltin="1"/>
    <cellStyle name="Heading 3" xfId="4" builtinId="18" customBuiltin="1"/>
    <cellStyle name="Heading 4" xfId="5" builtinId="19" customBuiltin="1"/>
    <cellStyle name="Hyperlink" xfId="9" builtinId="8" customBuiltin="1"/>
    <cellStyle name="Linked Cell" xfId="8" builtinId="24" customBuiltin="1"/>
    <cellStyle name="Normal" xfId="0" builtinId="0" customBuiltin="1"/>
    <cellStyle name="Table details center aligned" xfId="13" xr:uid="{00000000-0005-0000-0000-000009000000}"/>
    <cellStyle name="Table details left aligned" xfId="12" xr:uid="{00000000-0005-0000-0000-00000A000000}"/>
    <cellStyle name="Table details right aligned" xfId="14" xr:uid="{00000000-0005-0000-0000-00000B000000}"/>
    <cellStyle name="Table Heading" xfId="20" xr:uid="{00000000-0005-0000-0000-00000C000000}"/>
    <cellStyle name="Tip Heading" xfId="16" xr:uid="{00000000-0005-0000-0000-00000D000000}"/>
    <cellStyle name="Tip Numbering" xfId="18" xr:uid="{00000000-0005-0000-0000-00000E000000}"/>
    <cellStyle name="Tip Text" xfId="17" xr:uid="{00000000-0005-0000-0000-00000F000000}"/>
    <cellStyle name="Title" xfId="1" builtinId="15" customBuiltin="1"/>
    <cellStyle name="Total" xfId="6" builtinId="25" customBuiltin="1"/>
    <cellStyle name="Total counts" xfId="11" xr:uid="{00000000-0005-0000-0000-000012000000}"/>
    <cellStyle name="z Accessible text" xfId="15" xr:uid="{00000000-0005-0000-0000-000013000000}"/>
    <cellStyle name="zIconSet" xfId="19" xr:uid="{00000000-0005-0000-0000-000014000000}"/>
  </cellStyles>
  <dxfs count="8">
    <dxf>
      <font>
        <b/>
        <i val="0"/>
        <color rgb="FFFF0000"/>
      </font>
    </dxf>
    <dxf>
      <alignment vertical="center" textRotation="0" wrapText="0" indent="0" justifyLastLine="0" shrinkToFit="0" readingOrder="0"/>
    </dxf>
    <dxf>
      <font>
        <b/>
        <i val="0"/>
      </font>
    </dxf>
    <dxf>
      <fill>
        <patternFill>
          <bgColor theme="5" tint="0.59996337778862885"/>
        </patternFill>
      </fill>
    </dxf>
    <dxf>
      <fill>
        <patternFill>
          <bgColor theme="2" tint="-4.9989318521683403E-2"/>
        </patternFill>
      </fill>
    </dxf>
    <dxf>
      <fill>
        <patternFill>
          <bgColor theme="0"/>
        </patternFill>
      </fill>
    </dxf>
    <dxf>
      <font>
        <b val="0"/>
        <i val="0"/>
        <color theme="0"/>
      </font>
      <fill>
        <patternFill patternType="solid">
          <fgColor theme="4" tint="-0.499984740745262"/>
          <bgColor theme="4" tint="-0.499984740745262"/>
        </patternFill>
      </fill>
    </dxf>
    <dxf>
      <border>
        <vertical style="thick">
          <color theme="0"/>
        </vertical>
      </border>
    </dxf>
  </dxfs>
  <tableStyles count="1" defaultTableStyle="Inventory table" defaultPivotStyle="PivotStyleMedium2">
    <tableStyle name="Inventory table" pivot="0" count="4" xr9:uid="{00000000-0011-0000-FFFF-FFFF00000000}">
      <tableStyleElement type="wholeTable" dxfId="7"/>
      <tableStyleElement type="headerRow" dxfId="6"/>
      <tableStyleElement type="lastColumn" dxfId="5"/>
      <tableStyleElement type="secondRowStripe" dxfId="4"/>
    </tableStyle>
  </tableStyles>
  <colors>
    <mruColors>
      <color rgb="FF21734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hyperlink" Target="#Lookup!A1"/><Relationship Id="rId3" Type="http://schemas.openxmlformats.org/officeDocument/2006/relationships/hyperlink" Target="#'Conditional Formatting'!A1"/><Relationship Id="rId7" Type="http://schemas.openxmlformats.org/officeDocument/2006/relationships/hyperlink" Target="#'Inventory Pick List'!A1"/><Relationship Id="rId2" Type="http://schemas.openxmlformats.org/officeDocument/2006/relationships/hyperlink" Target="#'Navigation Links'!A1"/><Relationship Id="rId1" Type="http://schemas.openxmlformats.org/officeDocument/2006/relationships/image" Target="../media/image1.png"/><Relationship Id="rId6" Type="http://schemas.openxmlformats.org/officeDocument/2006/relationships/hyperlink" Target="#'Inventory List'!A1"/><Relationship Id="rId5" Type="http://schemas.openxmlformats.org/officeDocument/2006/relationships/hyperlink" Target="#'Learn More'!A1"/><Relationship Id="rId4" Type="http://schemas.openxmlformats.org/officeDocument/2006/relationships/hyperlink" Target="#'Icon Sets'!A1"/><Relationship Id="rId9"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Lookup!A1"/><Relationship Id="rId1" Type="http://schemas.openxmlformats.org/officeDocument/2006/relationships/hyperlink" Target="#'Inventory Pick List'!A1"/></Relationships>
</file>

<file path=xl/drawings/_rels/drawing3.xml.rels><?xml version="1.0" encoding="UTF-8" standalone="yes"?>
<Relationships xmlns="http://schemas.openxmlformats.org/package/2006/relationships"><Relationship Id="rId1" Type="http://schemas.openxmlformats.org/officeDocument/2006/relationships/hyperlink" Target="#'Inventory List'!A1"/></Relationships>
</file>

<file path=xl/drawings/_rels/drawing4.xml.rels><?xml version="1.0" encoding="UTF-8" standalone="yes"?>
<Relationships xmlns="http://schemas.openxmlformats.org/package/2006/relationships"><Relationship Id="rId1" Type="http://schemas.openxmlformats.org/officeDocument/2006/relationships/hyperlink" Target="#'Inventory List'!A1"/></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hyperlink" Target="https://go.microsoft.com/fwlink/?linkid=850341" TargetMode="External"/></Relationships>
</file>

<file path=xl/drawings/drawing1.xml><?xml version="1.0" encoding="utf-8"?>
<xdr:wsDr xmlns:xdr="http://schemas.openxmlformats.org/drawingml/2006/spreadsheetDrawing" xmlns:a="http://schemas.openxmlformats.org/drawingml/2006/main">
  <xdr:twoCellAnchor editAs="oneCell">
    <xdr:from>
      <xdr:col>1</xdr:col>
      <xdr:colOff>6350</xdr:colOff>
      <xdr:row>0</xdr:row>
      <xdr:rowOff>209550</xdr:rowOff>
    </xdr:from>
    <xdr:to>
      <xdr:col>3</xdr:col>
      <xdr:colOff>0</xdr:colOff>
      <xdr:row>10</xdr:row>
      <xdr:rowOff>1314450</xdr:rowOff>
    </xdr:to>
    <xdr:sp macro="" textlink="">
      <xdr:nvSpPr>
        <xdr:cNvPr id="2" name="Rectangle 1" descr="Make accessible Excel templates">
          <a:extLst>
            <a:ext uri="{FF2B5EF4-FFF2-40B4-BE49-F238E27FC236}">
              <a16:creationId xmlns:a16="http://schemas.microsoft.com/office/drawing/2014/main" id="{B125BF74-D6C6-413B-8B9E-0D3B44BD83AA}"/>
            </a:ext>
          </a:extLst>
        </xdr:cNvPr>
        <xdr:cNvSpPr/>
      </xdr:nvSpPr>
      <xdr:spPr>
        <a:xfrm>
          <a:off x="244475" y="209550"/>
          <a:ext cx="9144000" cy="5934075"/>
        </a:xfrm>
        <a:prstGeom prst="rect">
          <a:avLst/>
        </a:prstGeom>
        <a:solidFill>
          <a:srgbClr val="217346"/>
        </a:solidFill>
        <a:ln>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331259</xdr:colOff>
      <xdr:row>10</xdr:row>
      <xdr:rowOff>109538</xdr:rowOff>
    </xdr:from>
    <xdr:to>
      <xdr:col>1</xdr:col>
      <xdr:colOff>2210572</xdr:colOff>
      <xdr:row>10</xdr:row>
      <xdr:rowOff>1109662</xdr:rowOff>
    </xdr:to>
    <xdr:pic>
      <xdr:nvPicPr>
        <xdr:cNvPr id="3" name="Picture 2" descr="Excel logo">
          <a:extLst>
            <a:ext uri="{FF2B5EF4-FFF2-40B4-BE49-F238E27FC236}">
              <a16:creationId xmlns:a16="http://schemas.microsoft.com/office/drawing/2014/main" id="{4EEC416C-8AB7-4CB9-BF25-6AE7CEA8BF65}"/>
            </a:ext>
          </a:extLst>
        </xdr:cNvPr>
        <xdr:cNvPicPr>
          <a:picLocks noChangeAspect="1"/>
        </xdr:cNvPicPr>
      </xdr:nvPicPr>
      <xdr:blipFill>
        <a:blip xmlns:r="http://schemas.openxmlformats.org/officeDocument/2006/relationships" r:embed="rId1"/>
        <a:stretch>
          <a:fillRect/>
        </a:stretch>
      </xdr:blipFill>
      <xdr:spPr>
        <a:xfrm>
          <a:off x="569384" y="4167188"/>
          <a:ext cx="1879313" cy="1000124"/>
        </a:xfrm>
        <a:prstGeom prst="rect">
          <a:avLst/>
        </a:prstGeom>
      </xdr:spPr>
    </xdr:pic>
    <xdr:clientData/>
  </xdr:twoCellAnchor>
  <xdr:twoCellAnchor editAs="oneCell">
    <xdr:from>
      <xdr:col>0</xdr:col>
      <xdr:colOff>209550</xdr:colOff>
      <xdr:row>0</xdr:row>
      <xdr:rowOff>209550</xdr:rowOff>
    </xdr:from>
    <xdr:to>
      <xdr:col>2</xdr:col>
      <xdr:colOff>6480175</xdr:colOff>
      <xdr:row>1</xdr:row>
      <xdr:rowOff>1285874</xdr:rowOff>
    </xdr:to>
    <xdr:sp macro="" textlink="">
      <xdr:nvSpPr>
        <xdr:cNvPr id="5" name="Rectangle 4" descr="Sample accessible template">
          <a:extLst>
            <a:ext uri="{FF2B5EF4-FFF2-40B4-BE49-F238E27FC236}">
              <a16:creationId xmlns:a16="http://schemas.microsoft.com/office/drawing/2014/main" id="{22ED39D0-882A-4674-BA22-F5AFAB7DE8DE}"/>
            </a:ext>
          </a:extLst>
        </xdr:cNvPr>
        <xdr:cNvSpPr/>
      </xdr:nvSpPr>
      <xdr:spPr>
        <a:xfrm>
          <a:off x="209550" y="209550"/>
          <a:ext cx="9201150" cy="133349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4000">
              <a:latin typeface="Franklin Gothic Medium" panose="020B0603020102020204" pitchFamily="34" charset="0"/>
            </a:rPr>
            <a:t>Sample Inventory</a:t>
          </a:r>
          <a:r>
            <a:rPr lang="en-US" sz="4000" baseline="0">
              <a:latin typeface="Franklin Gothic Medium" panose="020B0603020102020204" pitchFamily="34" charset="0"/>
            </a:rPr>
            <a:t> List</a:t>
          </a:r>
        </a:p>
        <a:p>
          <a:pPr algn="l"/>
          <a:r>
            <a:rPr lang="en-US" sz="4000" baseline="0">
              <a:latin typeface="Franklin Gothic Medium" panose="020B0603020102020204" pitchFamily="34" charset="0"/>
            </a:rPr>
            <a:t>accessible</a:t>
          </a:r>
          <a:r>
            <a:rPr lang="en-US" sz="4000">
              <a:latin typeface="Franklin Gothic Medium" panose="020B0603020102020204" pitchFamily="34" charset="0"/>
            </a:rPr>
            <a:t> template</a:t>
          </a:r>
        </a:p>
      </xdr:txBody>
    </xdr:sp>
    <xdr:clientData/>
  </xdr:twoCellAnchor>
  <xdr:twoCellAnchor editAs="oneCell">
    <xdr:from>
      <xdr:col>1</xdr:col>
      <xdr:colOff>238125</xdr:colOff>
      <xdr:row>1</xdr:row>
      <xdr:rowOff>1304924</xdr:rowOff>
    </xdr:from>
    <xdr:to>
      <xdr:col>2</xdr:col>
      <xdr:colOff>5217583</xdr:colOff>
      <xdr:row>2</xdr:row>
      <xdr:rowOff>552449</xdr:rowOff>
    </xdr:to>
    <xdr:sp macro="" textlink="">
      <xdr:nvSpPr>
        <xdr:cNvPr id="6" name="Rectangle 5" descr="Contents">
          <a:extLst>
            <a:ext uri="{FF2B5EF4-FFF2-40B4-BE49-F238E27FC236}">
              <a16:creationId xmlns:a16="http://schemas.microsoft.com/office/drawing/2014/main" id="{62F8B166-5320-4DB3-BDCD-35C385CCDA46}"/>
            </a:ext>
          </a:extLst>
        </xdr:cNvPr>
        <xdr:cNvSpPr/>
      </xdr:nvSpPr>
      <xdr:spPr>
        <a:xfrm>
          <a:off x="476250" y="1562099"/>
          <a:ext cx="7436908" cy="5810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200">
              <a:latin typeface="Franklin Gothic Medium" panose="020B0603020102020204" pitchFamily="34" charset="0"/>
            </a:rPr>
            <a:t>Contents</a:t>
          </a:r>
        </a:p>
      </xdr:txBody>
    </xdr:sp>
    <xdr:clientData/>
  </xdr:twoCellAnchor>
  <xdr:twoCellAnchor editAs="oneCell">
    <xdr:from>
      <xdr:col>1</xdr:col>
      <xdr:colOff>647700</xdr:colOff>
      <xdr:row>6</xdr:row>
      <xdr:rowOff>147639</xdr:rowOff>
    </xdr:from>
    <xdr:to>
      <xdr:col>2</xdr:col>
      <xdr:colOff>371475</xdr:colOff>
      <xdr:row>7</xdr:row>
      <xdr:rowOff>33339</xdr:rowOff>
    </xdr:to>
    <xdr:sp macro="" textlink="">
      <xdr:nvSpPr>
        <xdr:cNvPr id="9" name="Rectangle 8" descr="Merged Cells">
          <a:hlinkClick xmlns:r="http://schemas.openxmlformats.org/officeDocument/2006/relationships" r:id="rId2" tooltip="Select to learn Navigation Links"/>
          <a:extLst>
            <a:ext uri="{FF2B5EF4-FFF2-40B4-BE49-F238E27FC236}">
              <a16:creationId xmlns:a16="http://schemas.microsoft.com/office/drawing/2014/main" id="{256D108B-455B-4EAE-B216-8F7051FC4AA2}"/>
            </a:ext>
          </a:extLst>
        </xdr:cNvPr>
        <xdr:cNvSpPr/>
      </xdr:nvSpPr>
      <xdr:spPr>
        <a:xfrm>
          <a:off x="885825" y="3452814"/>
          <a:ext cx="2181225"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Franklin Gothic Medium" panose="020B0603020102020204" pitchFamily="34" charset="0"/>
            </a:rPr>
            <a:t>Navigation Links</a:t>
          </a:r>
        </a:p>
      </xdr:txBody>
    </xdr:sp>
    <xdr:clientData/>
  </xdr:twoCellAnchor>
  <xdr:twoCellAnchor editAs="oneCell">
    <xdr:from>
      <xdr:col>1</xdr:col>
      <xdr:colOff>647700</xdr:colOff>
      <xdr:row>7</xdr:row>
      <xdr:rowOff>146052</xdr:rowOff>
    </xdr:from>
    <xdr:to>
      <xdr:col>2</xdr:col>
      <xdr:colOff>371475</xdr:colOff>
      <xdr:row>8</xdr:row>
      <xdr:rowOff>31752</xdr:rowOff>
    </xdr:to>
    <xdr:sp macro="" textlink="">
      <xdr:nvSpPr>
        <xdr:cNvPr id="10" name="Rectangle 9" descr="Tables">
          <a:hlinkClick xmlns:r="http://schemas.openxmlformats.org/officeDocument/2006/relationships" r:id="rId3" tooltip="Select to learn Conditional Formatting"/>
          <a:extLst>
            <a:ext uri="{FF2B5EF4-FFF2-40B4-BE49-F238E27FC236}">
              <a16:creationId xmlns:a16="http://schemas.microsoft.com/office/drawing/2014/main" id="{BB8D012F-319A-4F95-B976-08C1A1B46B60}"/>
            </a:ext>
          </a:extLst>
        </xdr:cNvPr>
        <xdr:cNvSpPr/>
      </xdr:nvSpPr>
      <xdr:spPr>
        <a:xfrm>
          <a:off x="885825" y="3832227"/>
          <a:ext cx="2181225"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Franklin Gothic Medium" panose="020B0603020102020204" pitchFamily="34" charset="0"/>
            </a:rPr>
            <a:t>Conditional Formatting</a:t>
          </a:r>
        </a:p>
      </xdr:txBody>
    </xdr:sp>
    <xdr:clientData/>
  </xdr:twoCellAnchor>
  <xdr:twoCellAnchor editAs="oneCell">
    <xdr:from>
      <xdr:col>1</xdr:col>
      <xdr:colOff>647700</xdr:colOff>
      <xdr:row>8</xdr:row>
      <xdr:rowOff>144465</xdr:rowOff>
    </xdr:from>
    <xdr:to>
      <xdr:col>2</xdr:col>
      <xdr:colOff>371475</xdr:colOff>
      <xdr:row>9</xdr:row>
      <xdr:rowOff>30165</xdr:rowOff>
    </xdr:to>
    <xdr:sp macro="" textlink="">
      <xdr:nvSpPr>
        <xdr:cNvPr id="11" name="Rectangle 10" descr="Named Definitions">
          <a:hlinkClick xmlns:r="http://schemas.openxmlformats.org/officeDocument/2006/relationships" r:id="rId4" tooltip="Select to learn Icon Sets"/>
          <a:extLst>
            <a:ext uri="{FF2B5EF4-FFF2-40B4-BE49-F238E27FC236}">
              <a16:creationId xmlns:a16="http://schemas.microsoft.com/office/drawing/2014/main" id="{6A624244-CE56-4CFF-A317-24FBD915B777}"/>
            </a:ext>
          </a:extLst>
        </xdr:cNvPr>
        <xdr:cNvSpPr/>
      </xdr:nvSpPr>
      <xdr:spPr>
        <a:xfrm>
          <a:off x="885825" y="4211640"/>
          <a:ext cx="2181225"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Franklin Gothic Medium" panose="020B0603020102020204" pitchFamily="34" charset="0"/>
            </a:rPr>
            <a:t>Icon Sets</a:t>
          </a:r>
        </a:p>
      </xdr:txBody>
    </xdr:sp>
    <xdr:clientData/>
  </xdr:twoCellAnchor>
  <xdr:twoCellAnchor editAs="oneCell">
    <xdr:from>
      <xdr:col>1</xdr:col>
      <xdr:colOff>647700</xdr:colOff>
      <xdr:row>9</xdr:row>
      <xdr:rowOff>142876</xdr:rowOff>
    </xdr:from>
    <xdr:to>
      <xdr:col>2</xdr:col>
      <xdr:colOff>371475</xdr:colOff>
      <xdr:row>10</xdr:row>
      <xdr:rowOff>28576</xdr:rowOff>
    </xdr:to>
    <xdr:sp macro="" textlink="">
      <xdr:nvSpPr>
        <xdr:cNvPr id="12" name="Rectangle 11" descr="Learn More">
          <a:hlinkClick xmlns:r="http://schemas.openxmlformats.org/officeDocument/2006/relationships" r:id="rId5" tooltip="Select to Learn More"/>
          <a:extLst>
            <a:ext uri="{FF2B5EF4-FFF2-40B4-BE49-F238E27FC236}">
              <a16:creationId xmlns:a16="http://schemas.microsoft.com/office/drawing/2014/main" id="{912D261E-7728-4976-B614-B73BB440C18E}"/>
            </a:ext>
          </a:extLst>
        </xdr:cNvPr>
        <xdr:cNvSpPr/>
      </xdr:nvSpPr>
      <xdr:spPr>
        <a:xfrm>
          <a:off x="885825" y="4591051"/>
          <a:ext cx="2181225"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a:latin typeface="Franklin Gothic Medium" panose="020B0603020102020204" pitchFamily="34" charset="0"/>
            </a:rPr>
            <a:t>Learn</a:t>
          </a:r>
          <a:r>
            <a:rPr lang="en-US" sz="1200" baseline="0">
              <a:latin typeface="Franklin Gothic Medium" panose="020B0603020102020204" pitchFamily="34" charset="0"/>
            </a:rPr>
            <a:t> More</a:t>
          </a:r>
          <a:endParaRPr lang="en-US" sz="1200">
            <a:latin typeface="Franklin Gothic Medium" panose="020B0603020102020204" pitchFamily="34" charset="0"/>
          </a:endParaRPr>
        </a:p>
      </xdr:txBody>
    </xdr:sp>
    <xdr:clientData/>
  </xdr:twoCellAnchor>
  <xdr:twoCellAnchor editAs="oneCell">
    <xdr:from>
      <xdr:col>1</xdr:col>
      <xdr:colOff>647700</xdr:colOff>
      <xdr:row>3</xdr:row>
      <xdr:rowOff>180976</xdr:rowOff>
    </xdr:from>
    <xdr:to>
      <xdr:col>2</xdr:col>
      <xdr:colOff>380999</xdr:colOff>
      <xdr:row>4</xdr:row>
      <xdr:rowOff>38101</xdr:rowOff>
    </xdr:to>
    <xdr:sp macro="" textlink="">
      <xdr:nvSpPr>
        <xdr:cNvPr id="17" name="Rectangle 16">
          <a:hlinkClick xmlns:r="http://schemas.openxmlformats.org/officeDocument/2006/relationships" r:id="rId6" tooltip="Select to view Inventory List worksheet"/>
          <a:extLst>
            <a:ext uri="{FF2B5EF4-FFF2-40B4-BE49-F238E27FC236}">
              <a16:creationId xmlns:a16="http://schemas.microsoft.com/office/drawing/2014/main" id="{31BB8B5E-A11F-4DD3-BDB6-24AEBB569EA9}"/>
            </a:ext>
          </a:extLst>
        </xdr:cNvPr>
        <xdr:cNvSpPr/>
      </xdr:nvSpPr>
      <xdr:spPr>
        <a:xfrm>
          <a:off x="885825" y="2343151"/>
          <a:ext cx="2190749" cy="2381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aseline="0">
              <a:latin typeface="Franklin Gothic Medium" panose="020B0603020102020204" pitchFamily="34" charset="0"/>
            </a:rPr>
            <a:t>Inventory List</a:t>
          </a:r>
          <a:endParaRPr lang="en-US" sz="1200">
            <a:latin typeface="Franklin Gothic Medium" panose="020B0603020102020204" pitchFamily="34" charset="0"/>
          </a:endParaRPr>
        </a:p>
      </xdr:txBody>
    </xdr:sp>
    <xdr:clientData/>
  </xdr:twoCellAnchor>
  <xdr:twoCellAnchor editAs="oneCell">
    <xdr:from>
      <xdr:col>1</xdr:col>
      <xdr:colOff>647700</xdr:colOff>
      <xdr:row>4</xdr:row>
      <xdr:rowOff>150814</xdr:rowOff>
    </xdr:from>
    <xdr:to>
      <xdr:col>2</xdr:col>
      <xdr:colOff>380999</xdr:colOff>
      <xdr:row>5</xdr:row>
      <xdr:rowOff>36514</xdr:rowOff>
    </xdr:to>
    <xdr:sp macro="" textlink="">
      <xdr:nvSpPr>
        <xdr:cNvPr id="18" name="Rectangle 17">
          <a:hlinkClick xmlns:r="http://schemas.openxmlformats.org/officeDocument/2006/relationships" r:id="rId7" tooltip="Select to view Inventory Pick List worksheet"/>
          <a:extLst>
            <a:ext uri="{FF2B5EF4-FFF2-40B4-BE49-F238E27FC236}">
              <a16:creationId xmlns:a16="http://schemas.microsoft.com/office/drawing/2014/main" id="{D483AAE6-74B3-4D68-8152-30DA2B4028AC}"/>
            </a:ext>
          </a:extLst>
        </xdr:cNvPr>
        <xdr:cNvSpPr/>
      </xdr:nvSpPr>
      <xdr:spPr>
        <a:xfrm>
          <a:off x="885825" y="2693989"/>
          <a:ext cx="2190749"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aseline="0">
              <a:latin typeface="Franklin Gothic Medium" panose="020B0603020102020204" pitchFamily="34" charset="0"/>
            </a:rPr>
            <a:t>Inventory Pick List</a:t>
          </a:r>
        </a:p>
        <a:p>
          <a:pPr algn="l"/>
          <a:endParaRPr lang="en-US" sz="1200">
            <a:latin typeface="Franklin Gothic Medium" panose="020B0603020102020204" pitchFamily="34" charset="0"/>
          </a:endParaRPr>
        </a:p>
      </xdr:txBody>
    </xdr:sp>
    <xdr:clientData/>
  </xdr:twoCellAnchor>
  <xdr:twoCellAnchor editAs="oneCell">
    <xdr:from>
      <xdr:col>1</xdr:col>
      <xdr:colOff>647700</xdr:colOff>
      <xdr:row>5</xdr:row>
      <xdr:rowOff>149227</xdr:rowOff>
    </xdr:from>
    <xdr:to>
      <xdr:col>2</xdr:col>
      <xdr:colOff>380999</xdr:colOff>
      <xdr:row>6</xdr:row>
      <xdr:rowOff>34927</xdr:rowOff>
    </xdr:to>
    <xdr:sp macro="" textlink="">
      <xdr:nvSpPr>
        <xdr:cNvPr id="19" name="Rectangle 18">
          <a:hlinkClick xmlns:r="http://schemas.openxmlformats.org/officeDocument/2006/relationships" r:id="rId8" tooltip="Select to view Lookup worksheet"/>
          <a:extLst>
            <a:ext uri="{FF2B5EF4-FFF2-40B4-BE49-F238E27FC236}">
              <a16:creationId xmlns:a16="http://schemas.microsoft.com/office/drawing/2014/main" id="{779F8339-AFF1-4670-9FB5-BE612F1210A3}"/>
            </a:ext>
          </a:extLst>
        </xdr:cNvPr>
        <xdr:cNvSpPr/>
      </xdr:nvSpPr>
      <xdr:spPr>
        <a:xfrm>
          <a:off x="885825" y="3073402"/>
          <a:ext cx="2190749" cy="2667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aseline="0">
              <a:latin typeface="Franklin Gothic Medium" panose="020B0603020102020204" pitchFamily="34" charset="0"/>
            </a:rPr>
            <a:t>Lookup</a:t>
          </a:r>
        </a:p>
        <a:p>
          <a:pPr algn="l"/>
          <a:endParaRPr lang="en-US" sz="1200">
            <a:latin typeface="Franklin Gothic Medium" panose="020B0603020102020204" pitchFamily="34" charset="0"/>
          </a:endParaRPr>
        </a:p>
      </xdr:txBody>
    </xdr:sp>
    <xdr:clientData/>
  </xdr:twoCellAnchor>
  <xdr:twoCellAnchor editAs="oneCell">
    <xdr:from>
      <xdr:col>2</xdr:col>
      <xdr:colOff>5124450</xdr:colOff>
      <xdr:row>10</xdr:row>
      <xdr:rowOff>352425</xdr:rowOff>
    </xdr:from>
    <xdr:to>
      <xdr:col>2</xdr:col>
      <xdr:colOff>6291707</xdr:colOff>
      <xdr:row>10</xdr:row>
      <xdr:rowOff>866775</xdr:rowOff>
    </xdr:to>
    <xdr:sp macro="" textlink="">
      <xdr:nvSpPr>
        <xdr:cNvPr id="20" name="Next Button" descr="Hyperlinked button to navigate to the next worksheet in the workbook">
          <a:hlinkClick xmlns:r="http://schemas.openxmlformats.org/officeDocument/2006/relationships" r:id="rId6" tooltip="Select to get started!"/>
          <a:extLst>
            <a:ext uri="{FF2B5EF4-FFF2-40B4-BE49-F238E27FC236}">
              <a16:creationId xmlns:a16="http://schemas.microsoft.com/office/drawing/2014/main" id="{01B91AE0-A0BF-4EB4-A93A-4397BE1DF482}"/>
            </a:ext>
          </a:extLst>
        </xdr:cNvPr>
        <xdr:cNvSpPr/>
      </xdr:nvSpPr>
      <xdr:spPr>
        <a:xfrm>
          <a:off x="7820025" y="4410075"/>
          <a:ext cx="1167257"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400" b="0" cap="none" spc="0" baseline="0">
              <a:ln>
                <a:noFill/>
              </a:ln>
              <a:solidFill>
                <a:srgbClr val="217346"/>
              </a:solidFill>
              <a:effectLst/>
              <a:latin typeface="Segoe UI Semibold" panose="020B0702040204020203" pitchFamily="34" charset="0"/>
              <a:ea typeface="Segoe UI" pitchFamily="34" charset="0"/>
              <a:cs typeface="Segoe UI Semibold" panose="020B0702040204020203" pitchFamily="34" charset="0"/>
            </a:rPr>
            <a:t> </a:t>
          </a:r>
          <a:r>
            <a:rPr lang="en-US" sz="140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40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twoCellAnchor>
  <xdr:twoCellAnchor editAs="oneCell">
    <xdr:from>
      <xdr:col>2</xdr:col>
      <xdr:colOff>76199</xdr:colOff>
      <xdr:row>2</xdr:row>
      <xdr:rowOff>450562</xdr:rowOff>
    </xdr:from>
    <xdr:to>
      <xdr:col>2</xdr:col>
      <xdr:colOff>4943474</xdr:colOff>
      <xdr:row>10</xdr:row>
      <xdr:rowOff>290422</xdr:rowOff>
    </xdr:to>
    <xdr:pic>
      <xdr:nvPicPr>
        <xdr:cNvPr id="23" name="Picture 22" descr="Inventory List">
          <a:extLst>
            <a:ext uri="{FF2B5EF4-FFF2-40B4-BE49-F238E27FC236}">
              <a16:creationId xmlns:a16="http://schemas.microsoft.com/office/drawing/2014/main" id="{593DDD12-ABBE-433B-AE52-8F20A2E0AB95}"/>
            </a:ext>
          </a:extLst>
        </xdr:cNvPr>
        <xdr:cNvPicPr>
          <a:picLocks noChangeAspect="1"/>
        </xdr:cNvPicPr>
      </xdr:nvPicPr>
      <xdr:blipFill>
        <a:blip xmlns:r="http://schemas.openxmlformats.org/officeDocument/2006/relationships" r:embed="rId9"/>
        <a:stretch>
          <a:fillRect/>
        </a:stretch>
      </xdr:blipFill>
      <xdr:spPr>
        <a:xfrm>
          <a:off x="2771774" y="2041237"/>
          <a:ext cx="4867275" cy="30783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3429</xdr:colOff>
      <xdr:row>1</xdr:row>
      <xdr:rowOff>57149</xdr:rowOff>
    </xdr:from>
    <xdr:to>
      <xdr:col>4</xdr:col>
      <xdr:colOff>1736979</xdr:colOff>
      <xdr:row>1</xdr:row>
      <xdr:rowOff>289559</xdr:rowOff>
    </xdr:to>
    <xdr:sp macro="" textlink="">
      <xdr:nvSpPr>
        <xdr:cNvPr id="11" name="Inventory List" descr="Navigation shape to view the Inventory Pick List">
          <a:hlinkClick xmlns:r="http://schemas.openxmlformats.org/officeDocument/2006/relationships" r:id="rId1" tooltip="Select to view Inventory Pick List worksheet"/>
          <a:extLst>
            <a:ext uri="{FF2B5EF4-FFF2-40B4-BE49-F238E27FC236}">
              <a16:creationId xmlns:a16="http://schemas.microsoft.com/office/drawing/2014/main" id="{00000000-0008-0000-0000-00000B000000}"/>
            </a:ext>
          </a:extLst>
        </xdr:cNvPr>
        <xdr:cNvSpPr/>
      </xdr:nvSpPr>
      <xdr:spPr>
        <a:xfrm>
          <a:off x="5480304"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100" baseline="0">
              <a:solidFill>
                <a:schemeClr val="lt1"/>
              </a:solidFill>
              <a:latin typeface="+mn-lt"/>
              <a:ea typeface="+mn-ea"/>
              <a:cs typeface="+mn-cs"/>
            </a:rPr>
            <a:t> PICK </a:t>
          </a:r>
          <a:r>
            <a:rPr lang="en-US" sz="1100">
              <a:solidFill>
                <a:schemeClr val="lt1"/>
              </a:solidFill>
              <a:latin typeface="+mn-lt"/>
              <a:ea typeface="+mn-ea"/>
              <a:cs typeface="+mn-cs"/>
            </a:rPr>
            <a:t>LIST</a:t>
          </a:r>
        </a:p>
      </xdr:txBody>
    </xdr:sp>
    <xdr:clientData fPrintsWithSheet="0"/>
  </xdr:twoCellAnchor>
  <xdr:twoCellAnchor editAs="oneCell">
    <xdr:from>
      <xdr:col>5</xdr:col>
      <xdr:colOff>51054</xdr:colOff>
      <xdr:row>1</xdr:row>
      <xdr:rowOff>57149</xdr:rowOff>
    </xdr:from>
    <xdr:to>
      <xdr:col>5</xdr:col>
      <xdr:colOff>1788414</xdr:colOff>
      <xdr:row>1</xdr:row>
      <xdr:rowOff>289559</xdr:rowOff>
    </xdr:to>
    <xdr:sp macro="" textlink="">
      <xdr:nvSpPr>
        <xdr:cNvPr id="12" name="Inventory List" descr="Navigation shape to view Bin Lookup">
          <a:hlinkClick xmlns:r="http://schemas.openxmlformats.org/officeDocument/2006/relationships" r:id="rId2" tooltip="Select to add or modify Lookup information"/>
          <a:extLst>
            <a:ext uri="{FF2B5EF4-FFF2-40B4-BE49-F238E27FC236}">
              <a16:creationId xmlns:a16="http://schemas.microsoft.com/office/drawing/2014/main" id="{00000000-0008-0000-0000-00000C000000}"/>
            </a:ext>
          </a:extLst>
        </xdr:cNvPr>
        <xdr:cNvSpPr/>
      </xdr:nvSpPr>
      <xdr:spPr>
        <a:xfrm>
          <a:off x="7337679" y="742949"/>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baseline="0">
              <a:solidFill>
                <a:schemeClr val="lt1"/>
              </a:solidFill>
              <a:latin typeface="+mn-lt"/>
              <a:ea typeface="+mn-ea"/>
              <a:cs typeface="+mn-cs"/>
            </a:rPr>
            <a:t>LOOKUP</a:t>
          </a:r>
          <a:endParaRPr lang="en-US" sz="1100">
            <a:solidFill>
              <a:schemeClr val="lt1"/>
            </a:solidFill>
            <a:latin typeface="+mn-lt"/>
            <a:ea typeface="+mn-ea"/>
            <a:cs typeface="+mn-cs"/>
          </a:endParaRP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2</xdr:col>
      <xdr:colOff>76199</xdr:colOff>
      <xdr:row>1</xdr:row>
      <xdr:rowOff>66675</xdr:rowOff>
    </xdr:from>
    <xdr:to>
      <xdr:col>2</xdr:col>
      <xdr:colOff>1813559</xdr:colOff>
      <xdr:row>1</xdr:row>
      <xdr:rowOff>295275</xdr:rowOff>
    </xdr:to>
    <xdr:sp macro="" textlink="">
      <xdr:nvSpPr>
        <xdr:cNvPr id="3" name="Inventory List" descr="Select to view Inventory List">
          <a:hlinkClick xmlns:r="http://schemas.openxmlformats.org/officeDocument/2006/relationships" r:id="rId1" tooltip="Click to view the Warehouse Inventory List"/>
          <a:extLst>
            <a:ext uri="{FF2B5EF4-FFF2-40B4-BE49-F238E27FC236}">
              <a16:creationId xmlns:a16="http://schemas.microsoft.com/office/drawing/2014/main" id="{00000000-0008-0000-0100-000003000000}"/>
            </a:ext>
          </a:extLst>
        </xdr:cNvPr>
        <xdr:cNvSpPr/>
      </xdr:nvSpPr>
      <xdr:spPr>
        <a:xfrm flipH="1">
          <a:off x="2019299"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twoCellAnchor editAs="oneCell">
    <xdr:from>
      <xdr:col>1</xdr:col>
      <xdr:colOff>28574</xdr:colOff>
      <xdr:row>1</xdr:row>
      <xdr:rowOff>76200</xdr:rowOff>
    </xdr:from>
    <xdr:to>
      <xdr:col>1</xdr:col>
      <xdr:colOff>1765934</xdr:colOff>
      <xdr:row>1</xdr:row>
      <xdr:rowOff>304800</xdr:rowOff>
    </xdr:to>
    <xdr:sp macro="[0]!ClearPickList" textlink="">
      <xdr:nvSpPr>
        <xdr:cNvPr id="5" name="Inventory List" descr="Select to clear pick list">
          <a:extLst>
            <a:ext uri="{FF2B5EF4-FFF2-40B4-BE49-F238E27FC236}">
              <a16:creationId xmlns:a16="http://schemas.microsoft.com/office/drawing/2014/main" id="{00000000-0008-0000-0100-000005000000}"/>
            </a:ext>
          </a:extLst>
        </xdr:cNvPr>
        <xdr:cNvSpPr/>
      </xdr:nvSpPr>
      <xdr:spPr>
        <a:xfrm flipH="1">
          <a:off x="190499" y="762000"/>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CLEAR</a:t>
          </a:r>
          <a:r>
            <a:rPr lang="en-US" sz="1000">
              <a:solidFill>
                <a:schemeClr val="lt1"/>
              </a:solidFill>
              <a:latin typeface="+mn-lt"/>
              <a:ea typeface="+mn-ea"/>
              <a:cs typeface="+mn-cs"/>
            </a:rPr>
            <a:t> </a:t>
          </a:r>
          <a:r>
            <a:rPr lang="en-US" sz="1100">
              <a:solidFill>
                <a:schemeClr val="lt1"/>
              </a:solidFill>
              <a:latin typeface="+mn-lt"/>
              <a:ea typeface="+mn-ea"/>
              <a:cs typeface="+mn-cs"/>
            </a:rPr>
            <a:t>PIC</a:t>
          </a:r>
          <a:r>
            <a:rPr lang="en-US" sz="1100" baseline="0">
              <a:solidFill>
                <a:schemeClr val="lt1"/>
              </a:solidFill>
              <a:latin typeface="+mn-lt"/>
              <a:ea typeface="+mn-ea"/>
              <a:cs typeface="+mn-cs"/>
            </a:rPr>
            <a:t>K</a:t>
          </a:r>
          <a:r>
            <a:rPr lang="en-US" sz="1000" baseline="0">
              <a:solidFill>
                <a:schemeClr val="lt1"/>
              </a:solidFill>
              <a:latin typeface="+mn-lt"/>
              <a:ea typeface="+mn-ea"/>
              <a:cs typeface="+mn-cs"/>
            </a:rPr>
            <a:t> </a:t>
          </a:r>
          <a:r>
            <a:rPr lang="en-US" sz="1100" baseline="0">
              <a:solidFill>
                <a:schemeClr val="lt1"/>
              </a:solidFill>
              <a:latin typeface="+mn-lt"/>
              <a:ea typeface="+mn-ea"/>
              <a:cs typeface="+mn-cs"/>
            </a:rPr>
            <a:t>LIST</a:t>
          </a:r>
          <a:endParaRPr lang="en-US" sz="1100">
            <a:solidFill>
              <a:schemeClr val="lt1"/>
            </a:solidFill>
            <a:latin typeface="+mn-lt"/>
            <a:ea typeface="+mn-ea"/>
            <a:cs typeface="+mn-cs"/>
          </a:endParaRP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1</xdr:row>
      <xdr:rowOff>66675</xdr:rowOff>
    </xdr:from>
    <xdr:to>
      <xdr:col>1</xdr:col>
      <xdr:colOff>1765935</xdr:colOff>
      <xdr:row>1</xdr:row>
      <xdr:rowOff>295275</xdr:rowOff>
    </xdr:to>
    <xdr:sp macro="" textlink="">
      <xdr:nvSpPr>
        <xdr:cNvPr id="2" name="Inventory List" descr="Select to view Inventory List">
          <a:hlinkClick xmlns:r="http://schemas.openxmlformats.org/officeDocument/2006/relationships" r:id="rId1" tooltip="Select to view Inventory List"/>
          <a:extLst>
            <a:ext uri="{FF2B5EF4-FFF2-40B4-BE49-F238E27FC236}">
              <a16:creationId xmlns:a16="http://schemas.microsoft.com/office/drawing/2014/main" id="{00000000-0008-0000-0200-000002000000}"/>
            </a:ext>
          </a:extLst>
        </xdr:cNvPr>
        <xdr:cNvSpPr/>
      </xdr:nvSpPr>
      <xdr:spPr>
        <a:xfrm flipH="1">
          <a:off x="190500" y="752475"/>
          <a:ext cx="1737360" cy="228600"/>
        </a:xfrm>
        <a:prstGeom prst="homePlate">
          <a:avLst/>
        </a:prstGeom>
        <a:solidFill>
          <a:schemeClr val="accent1">
            <a:lumMod val="50000"/>
          </a:schemeClr>
        </a:solidFill>
        <a:effectLst/>
        <a:scene3d>
          <a:camera prst="orthographicFront">
            <a:rot lat="0" lon="0" rev="0"/>
          </a:camera>
          <a:lightRig rig="threePt" dir="t">
            <a:rot lat="0" lon="0" rev="1200000"/>
          </a:lightRig>
        </a:scene3d>
        <a:sp3d/>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ea"/>
              <a:cs typeface="+mn-cs"/>
            </a:rPr>
            <a:t>INVENTORY</a:t>
          </a:r>
          <a:r>
            <a:rPr lang="en-US" sz="1000">
              <a:solidFill>
                <a:schemeClr val="lt1"/>
              </a:solidFill>
              <a:latin typeface="+mn-lt"/>
              <a:ea typeface="+mn-ea"/>
              <a:cs typeface="+mn-cs"/>
            </a:rPr>
            <a:t> </a:t>
          </a:r>
          <a:r>
            <a:rPr lang="en-US" sz="1100">
              <a:solidFill>
                <a:schemeClr val="lt1"/>
              </a:solidFill>
              <a:latin typeface="+mn-lt"/>
              <a:ea typeface="+mn-ea"/>
              <a:cs typeface="+mn-cs"/>
            </a:rPr>
            <a:t>LIST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oneCell">
    <xdr:from>
      <xdr:col>5</xdr:col>
      <xdr:colOff>209550</xdr:colOff>
      <xdr:row>2</xdr:row>
      <xdr:rowOff>342900</xdr:rowOff>
    </xdr:from>
    <xdr:to>
      <xdr:col>5</xdr:col>
      <xdr:colOff>4019074</xdr:colOff>
      <xdr:row>4</xdr:row>
      <xdr:rowOff>190321</xdr:rowOff>
    </xdr:to>
    <xdr:pic>
      <xdr:nvPicPr>
        <xdr:cNvPr id="2" name="Picture 1" descr="2 navigation links with column headings E and F with a box around Inventory Pick List">
          <a:extLst>
            <a:ext uri="{FF2B5EF4-FFF2-40B4-BE49-F238E27FC236}">
              <a16:creationId xmlns:a16="http://schemas.microsoft.com/office/drawing/2014/main" id="{8962D274-DF67-44B0-A45F-A4A109CFBE58}"/>
            </a:ext>
          </a:extLst>
        </xdr:cNvPr>
        <xdr:cNvPicPr>
          <a:picLocks noChangeAspect="1"/>
        </xdr:cNvPicPr>
      </xdr:nvPicPr>
      <xdr:blipFill>
        <a:blip xmlns:r="http://schemas.openxmlformats.org/officeDocument/2006/relationships" r:embed="rId1"/>
        <a:stretch>
          <a:fillRect/>
        </a:stretch>
      </xdr:blipFill>
      <xdr:spPr>
        <a:xfrm>
          <a:off x="6848475" y="1295400"/>
          <a:ext cx="3809524" cy="1428571"/>
        </a:xfrm>
        <a:prstGeom prst="rect">
          <a:avLst/>
        </a:prstGeom>
      </xdr:spPr>
    </xdr:pic>
    <xdr:clientData/>
  </xdr:twoCellAnchor>
  <xdr:twoCellAnchor editAs="oneCell">
    <xdr:from>
      <xdr:col>5</xdr:col>
      <xdr:colOff>809625</xdr:colOff>
      <xdr:row>4</xdr:row>
      <xdr:rowOff>0</xdr:rowOff>
    </xdr:from>
    <xdr:to>
      <xdr:col>5</xdr:col>
      <xdr:colOff>3295339</xdr:colOff>
      <xdr:row>4</xdr:row>
      <xdr:rowOff>323810</xdr:rowOff>
    </xdr:to>
    <xdr:pic>
      <xdr:nvPicPr>
        <xdr:cNvPr id="5" name="Picture 4" descr="Tip text when hovering over a navigation shape">
          <a:extLst>
            <a:ext uri="{FF2B5EF4-FFF2-40B4-BE49-F238E27FC236}">
              <a16:creationId xmlns:a16="http://schemas.microsoft.com/office/drawing/2014/main" id="{67F7EA3C-3EDB-43EC-99EF-1274C227689E}"/>
            </a:ext>
          </a:extLst>
        </xdr:cNvPr>
        <xdr:cNvPicPr>
          <a:picLocks noChangeAspect="1"/>
        </xdr:cNvPicPr>
      </xdr:nvPicPr>
      <xdr:blipFill>
        <a:blip xmlns:r="http://schemas.openxmlformats.org/officeDocument/2006/relationships" r:embed="rId2"/>
        <a:stretch>
          <a:fillRect/>
        </a:stretch>
      </xdr:blipFill>
      <xdr:spPr>
        <a:xfrm>
          <a:off x="7448550" y="2533650"/>
          <a:ext cx="2485714" cy="323810"/>
        </a:xfrm>
        <a:prstGeom prst="rect">
          <a:avLst/>
        </a:prstGeom>
      </xdr:spPr>
    </xdr:pic>
    <xdr:clientData/>
  </xdr:twoCellAnchor>
  <xdr:twoCellAnchor editAs="oneCell">
    <xdr:from>
      <xdr:col>5</xdr:col>
      <xdr:colOff>285750</xdr:colOff>
      <xdr:row>3</xdr:row>
      <xdr:rowOff>276225</xdr:rowOff>
    </xdr:from>
    <xdr:to>
      <xdr:col>5</xdr:col>
      <xdr:colOff>2095500</xdr:colOff>
      <xdr:row>3</xdr:row>
      <xdr:rowOff>609600</xdr:rowOff>
    </xdr:to>
    <xdr:sp macro="" textlink="">
      <xdr:nvSpPr>
        <xdr:cNvPr id="6" name="Rectangle 5" descr="Box">
          <a:extLst>
            <a:ext uri="{FF2B5EF4-FFF2-40B4-BE49-F238E27FC236}">
              <a16:creationId xmlns:a16="http://schemas.microsoft.com/office/drawing/2014/main" id="{1770313B-C311-4537-ACA9-452BE940D9CC}"/>
            </a:ext>
          </a:extLst>
        </xdr:cNvPr>
        <xdr:cNvSpPr/>
      </xdr:nvSpPr>
      <xdr:spPr>
        <a:xfrm>
          <a:off x="6924675" y="2181225"/>
          <a:ext cx="1809750" cy="333375"/>
        </a:xfrm>
        <a:prstGeom prst="rect">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228600</xdr:colOff>
      <xdr:row>2</xdr:row>
      <xdr:rowOff>476249</xdr:rowOff>
    </xdr:from>
    <xdr:to>
      <xdr:col>5</xdr:col>
      <xdr:colOff>9232900</xdr:colOff>
      <xdr:row>6</xdr:row>
      <xdr:rowOff>400049</xdr:rowOff>
    </xdr:to>
    <xdr:grpSp>
      <xdr:nvGrpSpPr>
        <xdr:cNvPr id="7" name="Group 6" descr="Items for reordering are highlighted using conditional format. Two arrows indicate the rows highlighted">
          <a:extLst>
            <a:ext uri="{FF2B5EF4-FFF2-40B4-BE49-F238E27FC236}">
              <a16:creationId xmlns:a16="http://schemas.microsoft.com/office/drawing/2014/main" id="{E7B7CAAA-59EE-4DE6-883C-A5C29AB69AF1}"/>
            </a:ext>
          </a:extLst>
        </xdr:cNvPr>
        <xdr:cNvGrpSpPr/>
      </xdr:nvGrpSpPr>
      <xdr:grpSpPr>
        <a:xfrm>
          <a:off x="7553325" y="1432559"/>
          <a:ext cx="9008110" cy="2457450"/>
          <a:chOff x="7477125" y="952500"/>
          <a:chExt cx="15400000" cy="2800000"/>
        </a:xfrm>
      </xdr:grpSpPr>
      <xdr:pic>
        <xdr:nvPicPr>
          <xdr:cNvPr id="2" name="Picture 1" descr="Items for reordering are highlighted using conditional format. Two arrows indicate the rows highlighted in the image">
            <a:extLst>
              <a:ext uri="{FF2B5EF4-FFF2-40B4-BE49-F238E27FC236}">
                <a16:creationId xmlns:a16="http://schemas.microsoft.com/office/drawing/2014/main" id="{ADEF45D0-CB2B-452D-A800-12439082B488}"/>
              </a:ext>
            </a:extLst>
          </xdr:cNvPr>
          <xdr:cNvPicPr>
            <a:picLocks noChangeAspect="1"/>
          </xdr:cNvPicPr>
        </xdr:nvPicPr>
        <xdr:blipFill>
          <a:blip xmlns:r="http://schemas.openxmlformats.org/officeDocument/2006/relationships" r:embed="rId1"/>
          <a:stretch>
            <a:fillRect/>
          </a:stretch>
        </xdr:blipFill>
        <xdr:spPr>
          <a:xfrm>
            <a:off x="7477125" y="952500"/>
            <a:ext cx="15400000" cy="2800000"/>
          </a:xfrm>
          <a:prstGeom prst="rect">
            <a:avLst/>
          </a:prstGeom>
        </xdr:spPr>
      </xdr:pic>
      <xdr:cxnSp macro="">
        <xdr:nvCxnSpPr>
          <xdr:cNvPr id="4" name="Straight Arrow Connector 3" descr="Items for reordering are highlighted using conditional format. Two arrows indicate the rows highlighted in the image">
            <a:extLst>
              <a:ext uri="{FF2B5EF4-FFF2-40B4-BE49-F238E27FC236}">
                <a16:creationId xmlns:a16="http://schemas.microsoft.com/office/drawing/2014/main" id="{ACD0C140-7E62-4194-B621-932138E425A0}"/>
              </a:ext>
            </a:extLst>
          </xdr:cNvPr>
          <xdr:cNvCxnSpPr/>
        </xdr:nvCxnSpPr>
        <xdr:spPr>
          <a:xfrm>
            <a:off x="8686800" y="2286000"/>
            <a:ext cx="0" cy="619125"/>
          </a:xfrm>
          <a:prstGeom prst="straightConnector1">
            <a:avLst/>
          </a:prstGeom>
          <a:ln>
            <a:solidFill>
              <a:srgbClr val="FF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descr="Items for reordering are highlighted using conditional format. Two arrows indicate the rows highlighted in the image">
            <a:extLst>
              <a:ext uri="{FF2B5EF4-FFF2-40B4-BE49-F238E27FC236}">
                <a16:creationId xmlns:a16="http://schemas.microsoft.com/office/drawing/2014/main" id="{789466E1-530C-4D98-8F84-F7BA655D7842}"/>
              </a:ext>
            </a:extLst>
          </xdr:cNvPr>
          <xdr:cNvCxnSpPr/>
        </xdr:nvCxnSpPr>
        <xdr:spPr>
          <a:xfrm>
            <a:off x="21945600" y="2247900"/>
            <a:ext cx="0" cy="619125"/>
          </a:xfrm>
          <a:prstGeom prst="straightConnector1">
            <a:avLst/>
          </a:prstGeom>
          <a:ln>
            <a:solidFill>
              <a:srgbClr val="FF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628650</xdr:colOff>
      <xdr:row>2</xdr:row>
      <xdr:rowOff>285751</xdr:rowOff>
    </xdr:from>
    <xdr:to>
      <xdr:col>5</xdr:col>
      <xdr:colOff>1714500</xdr:colOff>
      <xdr:row>4</xdr:row>
      <xdr:rowOff>514351</xdr:rowOff>
    </xdr:to>
    <xdr:grpSp>
      <xdr:nvGrpSpPr>
        <xdr:cNvPr id="4" name="Group 3" descr="Reorder column K sample showing flag icon set and Reorder text">
          <a:extLst>
            <a:ext uri="{FF2B5EF4-FFF2-40B4-BE49-F238E27FC236}">
              <a16:creationId xmlns:a16="http://schemas.microsoft.com/office/drawing/2014/main" id="{BD7E8666-49B3-4007-A9EF-A00841BA6B06}"/>
            </a:ext>
          </a:extLst>
        </xdr:cNvPr>
        <xdr:cNvGrpSpPr/>
      </xdr:nvGrpSpPr>
      <xdr:grpSpPr>
        <a:xfrm>
          <a:off x="7949565" y="1234441"/>
          <a:ext cx="1089660" cy="1809750"/>
          <a:chOff x="8410575" y="1619250"/>
          <a:chExt cx="1171430" cy="1923845"/>
        </a:xfrm>
      </xdr:grpSpPr>
      <xdr:pic>
        <xdr:nvPicPr>
          <xdr:cNvPr id="2" name="Picture 1" descr="Reorder heading">
            <a:extLst>
              <a:ext uri="{FF2B5EF4-FFF2-40B4-BE49-F238E27FC236}">
                <a16:creationId xmlns:a16="http://schemas.microsoft.com/office/drawing/2014/main" id="{B7D549FB-8A22-46E3-B380-7A680E11C2ED}"/>
              </a:ext>
            </a:extLst>
          </xdr:cNvPr>
          <xdr:cNvPicPr>
            <a:picLocks noChangeAspect="1"/>
          </xdr:cNvPicPr>
        </xdr:nvPicPr>
        <xdr:blipFill>
          <a:blip xmlns:r="http://schemas.openxmlformats.org/officeDocument/2006/relationships" r:embed="rId1"/>
          <a:stretch>
            <a:fillRect/>
          </a:stretch>
        </xdr:blipFill>
        <xdr:spPr>
          <a:xfrm>
            <a:off x="8410575" y="1619250"/>
            <a:ext cx="1161905" cy="438095"/>
          </a:xfrm>
          <a:prstGeom prst="rect">
            <a:avLst/>
          </a:prstGeom>
        </xdr:spPr>
      </xdr:pic>
      <xdr:pic>
        <xdr:nvPicPr>
          <xdr:cNvPr id="3" name="Picture 2" descr="Reorder icon indicators with text">
            <a:extLst>
              <a:ext uri="{FF2B5EF4-FFF2-40B4-BE49-F238E27FC236}">
                <a16:creationId xmlns:a16="http://schemas.microsoft.com/office/drawing/2014/main" id="{62933671-2F1C-48BB-B578-68186E575A27}"/>
              </a:ext>
            </a:extLst>
          </xdr:cNvPr>
          <xdr:cNvPicPr>
            <a:picLocks noChangeAspect="1"/>
          </xdr:cNvPicPr>
        </xdr:nvPicPr>
        <xdr:blipFill>
          <a:blip xmlns:r="http://schemas.openxmlformats.org/officeDocument/2006/relationships" r:embed="rId2"/>
          <a:stretch>
            <a:fillRect/>
          </a:stretch>
        </xdr:blipFill>
        <xdr:spPr>
          <a:xfrm>
            <a:off x="8420100" y="1905000"/>
            <a:ext cx="1161905" cy="1638095"/>
          </a:xfrm>
          <a:prstGeom prst="rect">
            <a:avLst/>
          </a:prstGeom>
        </xdr:spPr>
      </xdr:pic>
    </xdr:grpSp>
    <xdr:clientData/>
  </xdr:twoCellAnchor>
  <xdr:twoCellAnchor editAs="oneCell">
    <xdr:from>
      <xdr:col>5</xdr:col>
      <xdr:colOff>571500</xdr:colOff>
      <xdr:row>6</xdr:row>
      <xdr:rowOff>485775</xdr:rowOff>
    </xdr:from>
    <xdr:to>
      <xdr:col>5</xdr:col>
      <xdr:colOff>1723881</xdr:colOff>
      <xdr:row>7</xdr:row>
      <xdr:rowOff>485673</xdr:rowOff>
    </xdr:to>
    <xdr:pic>
      <xdr:nvPicPr>
        <xdr:cNvPr id="6" name="Picture 5" descr="Sample input message">
          <a:extLst>
            <a:ext uri="{FF2B5EF4-FFF2-40B4-BE49-F238E27FC236}">
              <a16:creationId xmlns:a16="http://schemas.microsoft.com/office/drawing/2014/main" id="{112B7873-DF61-4EFB-8CDF-4A41DAC6386B}"/>
            </a:ext>
          </a:extLst>
        </xdr:cNvPr>
        <xdr:cNvPicPr>
          <a:picLocks noChangeAspect="1"/>
        </xdr:cNvPicPr>
      </xdr:nvPicPr>
      <xdr:blipFill>
        <a:blip xmlns:r="http://schemas.openxmlformats.org/officeDocument/2006/relationships" r:embed="rId3"/>
        <a:stretch>
          <a:fillRect/>
        </a:stretch>
      </xdr:blipFill>
      <xdr:spPr>
        <a:xfrm>
          <a:off x="8048625" y="4276725"/>
          <a:ext cx="1152381" cy="819048"/>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190499</xdr:colOff>
      <xdr:row>2</xdr:row>
      <xdr:rowOff>19050</xdr:rowOff>
    </xdr:from>
    <xdr:to>
      <xdr:col>1</xdr:col>
      <xdr:colOff>6775450</xdr:colOff>
      <xdr:row>3</xdr:row>
      <xdr:rowOff>38100</xdr:rowOff>
    </xdr:to>
    <xdr:sp macro="" textlink="">
      <xdr:nvSpPr>
        <xdr:cNvPr id="2" name="Rectangle 1" descr="background">
          <a:extLst>
            <a:ext uri="{FF2B5EF4-FFF2-40B4-BE49-F238E27FC236}">
              <a16:creationId xmlns:a16="http://schemas.microsoft.com/office/drawing/2014/main" id="{8B456A18-5CC9-4EDA-8D4C-18E1CB31C3EA}"/>
            </a:ext>
          </a:extLst>
        </xdr:cNvPr>
        <xdr:cNvSpPr/>
      </xdr:nvSpPr>
      <xdr:spPr>
        <a:xfrm>
          <a:off x="190499" y="1250950"/>
          <a:ext cx="6775451" cy="1047750"/>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217346"/>
            </a:solidFill>
          </a:endParaRPr>
        </a:p>
      </xdr:txBody>
    </xdr:sp>
    <xdr:clientData/>
  </xdr:twoCellAnchor>
  <xdr:twoCellAnchor editAs="oneCell">
    <xdr:from>
      <xdr:col>0</xdr:col>
      <xdr:colOff>190499</xdr:colOff>
      <xdr:row>1</xdr:row>
      <xdr:rowOff>3174</xdr:rowOff>
    </xdr:from>
    <xdr:to>
      <xdr:col>1</xdr:col>
      <xdr:colOff>6775450</xdr:colOff>
      <xdr:row>2</xdr:row>
      <xdr:rowOff>9524</xdr:rowOff>
    </xdr:to>
    <xdr:sp macro="" textlink="">
      <xdr:nvSpPr>
        <xdr:cNvPr id="4" name="Rectangle 3" descr="More questions about Accessibility">
          <a:extLst>
            <a:ext uri="{FF2B5EF4-FFF2-40B4-BE49-F238E27FC236}">
              <a16:creationId xmlns:a16="http://schemas.microsoft.com/office/drawing/2014/main" id="{305786E6-861A-45EB-A6E2-27C910E223AF}"/>
            </a:ext>
          </a:extLst>
        </xdr:cNvPr>
        <xdr:cNvSpPr/>
      </xdr:nvSpPr>
      <xdr:spPr>
        <a:xfrm>
          <a:off x="190499" y="257174"/>
          <a:ext cx="6775451" cy="984250"/>
        </a:xfrm>
        <a:prstGeom prst="rect">
          <a:avLst/>
        </a:prstGeom>
        <a:solidFill>
          <a:srgbClr val="217346"/>
        </a:solidFill>
        <a:ln>
          <a:solidFill>
            <a:srgbClr val="21734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600">
              <a:solidFill>
                <a:schemeClr val="bg1"/>
              </a:solidFill>
              <a:latin typeface="Arial" panose="020B0604020202020204" pitchFamily="34" charset="0"/>
              <a:cs typeface="Arial" panose="020B0604020202020204" pitchFamily="34" charset="0"/>
            </a:rPr>
            <a:t>More questions about Accessibility?</a:t>
          </a:r>
        </a:p>
      </xdr:txBody>
    </xdr:sp>
    <xdr:clientData/>
  </xdr:twoCellAnchor>
  <xdr:twoCellAnchor editAs="oneCell">
    <xdr:from>
      <xdr:col>1</xdr:col>
      <xdr:colOff>6324600</xdr:colOff>
      <xdr:row>2</xdr:row>
      <xdr:rowOff>400050</xdr:rowOff>
    </xdr:from>
    <xdr:to>
      <xdr:col>1</xdr:col>
      <xdr:colOff>6672266</xdr:colOff>
      <xdr:row>2</xdr:row>
      <xdr:rowOff>784830</xdr:rowOff>
    </xdr:to>
    <xdr:pic>
      <xdr:nvPicPr>
        <xdr:cNvPr id="8" name="Picture 7" descr="Arrow shape that directs users to how to make Excel spreadsheets accessible">
          <a:hlinkClick xmlns:r="http://schemas.openxmlformats.org/officeDocument/2006/relationships" r:id="rId1" tooltip="How to make Excel spreadsheets accessible"/>
          <a:extLst>
            <a:ext uri="{FF2B5EF4-FFF2-40B4-BE49-F238E27FC236}">
              <a16:creationId xmlns:a16="http://schemas.microsoft.com/office/drawing/2014/main" id="{F97DDFA2-1B33-4CC7-9A73-8598F05DD91E}"/>
            </a:ext>
          </a:extLst>
        </xdr:cNvPr>
        <xdr:cNvPicPr>
          <a:picLocks noChangeAspect="1"/>
        </xdr:cNvPicPr>
      </xdr:nvPicPr>
      <xdr:blipFill>
        <a:blip xmlns:r="http://schemas.openxmlformats.org/officeDocument/2006/relationships" r:embed="rId2"/>
        <a:stretch>
          <a:fillRect/>
        </a:stretch>
      </xdr:blipFill>
      <xdr:spPr>
        <a:xfrm>
          <a:off x="6515100" y="1631950"/>
          <a:ext cx="347666" cy="384780"/>
        </a:xfrm>
        <a:prstGeom prst="rect">
          <a:avLst/>
        </a:prstGeom>
      </xdr:spPr>
    </xdr:pic>
    <xdr:clientData/>
  </xdr:twoCellAnchor>
  <xdr:twoCellAnchor editAs="oneCell">
    <xdr:from>
      <xdr:col>1</xdr:col>
      <xdr:colOff>1574801</xdr:colOff>
      <xdr:row>2</xdr:row>
      <xdr:rowOff>416228</xdr:rowOff>
    </xdr:from>
    <xdr:to>
      <xdr:col>1</xdr:col>
      <xdr:colOff>6254751</xdr:colOff>
      <xdr:row>2</xdr:row>
      <xdr:rowOff>768653</xdr:rowOff>
    </xdr:to>
    <xdr:sp macro="" textlink="">
      <xdr:nvSpPr>
        <xdr:cNvPr id="9" name="Rectangle 8" descr="How to make Excel spreadsheets accessible">
          <a:hlinkClick xmlns:r="http://schemas.openxmlformats.org/officeDocument/2006/relationships" r:id="rId1" tooltip="How to make Excel spreadsheets accessible"/>
          <a:extLst>
            <a:ext uri="{FF2B5EF4-FFF2-40B4-BE49-F238E27FC236}">
              <a16:creationId xmlns:a16="http://schemas.microsoft.com/office/drawing/2014/main" id="{F8176755-AAE0-4D9A-83BD-C7EC19FA533B}"/>
            </a:ext>
          </a:extLst>
        </xdr:cNvPr>
        <xdr:cNvSpPr/>
      </xdr:nvSpPr>
      <xdr:spPr>
        <a:xfrm>
          <a:off x="1765301" y="1648128"/>
          <a:ext cx="4679950" cy="352425"/>
        </a:xfrm>
        <a:prstGeom prst="rect">
          <a:avLst/>
        </a:pr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1" baseline="0">
              <a:solidFill>
                <a:srgbClr val="217346"/>
              </a:solidFill>
              <a:latin typeface="Arial" panose="020B0604020202020204" pitchFamily="34" charset="0"/>
              <a:cs typeface="Arial" panose="020B0604020202020204" pitchFamily="34" charset="0"/>
            </a:rPr>
            <a:t>How to make Excel spreadsheets accessible</a:t>
          </a:r>
          <a:endParaRPr lang="en-US" sz="1600" b="1">
            <a:solidFill>
              <a:srgbClr val="217346"/>
            </a:solidFill>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nventoryList" displayName="InventoryList" ref="B4:K15" totalsRowDxfId="1" headerRowCellStyle="Heading 1">
  <autoFilter ref="B4:K15" xr:uid="{00000000-0009-0000-0100-000001000000}"/>
  <sortState xmlns:xlrd2="http://schemas.microsoft.com/office/spreadsheetml/2017/richdata2" ref="B3:F12">
    <sortCondition ref="C2:C12"/>
  </sortState>
  <tableColumns count="10">
    <tableColumn id="1" xr3:uid="{00000000-0010-0000-0000-000001000000}" name="SKU" totalsRowLabel="Totals" dataCellStyle="Table details left aligned"/>
    <tableColumn id="2" xr3:uid="{00000000-0010-0000-0000-000002000000}" name="DESCRIPTION" dataCellStyle="Table details left aligned"/>
    <tableColumn id="3" xr3:uid="{00000000-0010-0000-0000-000003000000}" name="BIN #" dataCellStyle="Table details left aligned"/>
    <tableColumn id="4" xr3:uid="{00000000-0010-0000-0000-000004000000}" name="LOCATION" dataCellStyle="Table details left aligned">
      <calculatedColumnFormula>IFERROR(VLOOKUP(InventoryList[[#This Row],[BIN '#]],BinLookup[],3,FALSE),"")</calculatedColumnFormula>
    </tableColumn>
    <tableColumn id="5" xr3:uid="{00000000-0010-0000-0000-000005000000}" name="UNIT" dataCellStyle="Table details left aligned"/>
    <tableColumn id="6" xr3:uid="{00000000-0010-0000-0000-000006000000}" name="QTY" dataCellStyle="Table details center aligned"/>
    <tableColumn id="8" xr3:uid="{00000000-0010-0000-0000-000008000000}" name="REORDER QTY" dataCellStyle="Table details center aligned"/>
    <tableColumn id="7" xr3:uid="{00000000-0010-0000-0000-000007000000}" name="COST" dataCellStyle="Table details right aligned"/>
    <tableColumn id="10" xr3:uid="{00000000-0010-0000-0000-00000A000000}" name="INVENTORY VALUE" dataCellStyle="Table details right aligned">
      <calculatedColumnFormula>InventoryList[[#This Row],[QTY]]*InventoryList[[#This Row],[COST]]</calculatedColumnFormula>
    </tableColumn>
    <tableColumn id="9" xr3:uid="{00000000-0010-0000-0000-000009000000}" name="REORDER" dataCellStyle="Flag Column">
      <calculatedColumnFormula>IFERROR(IF(InventoryList[[#This Row],[QTY]]&lt;=InventoryList[[#This Row],[REORDER QTY]],1,0),0)</calculatedColumnFormula>
    </tableColumn>
  </tableColumns>
  <tableStyleInfo name="Inventory table" showFirstColumn="0" showLastColumn="0" showRowStripes="1" showColumnStripes="0"/>
  <extLst>
    <ext xmlns:x14="http://schemas.microsoft.com/office/spreadsheetml/2009/9/main" uri="{504A1905-F514-4f6f-8877-14C23A59335A}">
      <x14:table altTextSummary="List of inventory items and details: SKU, description, bin number, location, unit, quantity, reorder quantity, cost, inventory value and reorder status"/>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InventoryPickList" displayName="InventoryPickList" ref="B4:I9" totalsRowShown="0" headerRowCellStyle="Heading 1">
  <autoFilter ref="B4:I9" xr:uid="{00000000-0009-0000-0100-000004000000}"/>
  <sortState xmlns:xlrd2="http://schemas.microsoft.com/office/spreadsheetml/2017/richdata2" ref="B3:I7">
    <sortCondition ref="I2:I7"/>
  </sortState>
  <tableColumns count="8">
    <tableColumn id="9" xr3:uid="{00000000-0010-0000-0100-000009000000}" name="ORDER #" dataCellStyle="Table details left aligned"/>
    <tableColumn id="1" xr3:uid="{00000000-0010-0000-0100-000001000000}" name="SKU" dataCellStyle="Table details left aligned"/>
    <tableColumn id="6" xr3:uid="{00000000-0010-0000-0100-000006000000}" name="PICK QTY" dataCellStyle="Table details center aligned"/>
    <tableColumn id="7" xr3:uid="{00000000-0010-0000-0100-000007000000}" name="QTY AVAILABLE" dataCellStyle="Table details center aligned">
      <calculatedColumnFormula>IFERROR(VLOOKUP(InventoryPickList[[#This Row],[SKU]],InventoryList[],6,FALSE),"")</calculatedColumnFormula>
    </tableColumn>
    <tableColumn id="2" xr3:uid="{00000000-0010-0000-0100-000002000000}" name="ITEM DESCRIPTION" dataCellStyle="Table details left aligned">
      <calculatedColumnFormula>IFERROR(VLOOKUP(InventoryPickList[[#This Row],[SKU]],InventoryList[],2,FALSE),"")</calculatedColumnFormula>
    </tableColumn>
    <tableColumn id="8" xr3:uid="{00000000-0010-0000-0100-000008000000}" name="UNIT" dataCellStyle="Table details left aligned">
      <calculatedColumnFormula>IFERROR(VLOOKUP(InventoryPickList[[#This Row],[SKU]],InventoryList[],5,FALSE),"")</calculatedColumnFormula>
    </tableColumn>
    <tableColumn id="3" xr3:uid="{00000000-0010-0000-0100-000003000000}" name="BIN #" dataCellStyle="Table details left aligned">
      <calculatedColumnFormula>IFERROR(VLOOKUP(InventoryPickList[[#This Row],[SKU]],InventoryList[],3,FALSE),"")</calculatedColumnFormula>
    </tableColumn>
    <tableColumn id="4" xr3:uid="{00000000-0010-0000-0100-000004000000}" name="LOCATION" dataCellStyle="Table details left aligned">
      <calculatedColumnFormula>IFERROR(VLOOKUP(InventoryPickList[[#This Row],[SKU]],InventoryList[],4,FALSE),"")</calculatedColumnFormula>
    </tableColumn>
  </tableColumns>
  <tableStyleInfo name="Inventory table" showFirstColumn="0" showLastColumn="0" showRowStripes="1" showColumnStripes="0"/>
  <extLst>
    <ext xmlns:x14="http://schemas.microsoft.com/office/spreadsheetml/2009/9/main" uri="{504A1905-F514-4f6f-8877-14C23A59335A}">
      <x14:table altTextSummary="Inventory for order fulfillment with item details: order number, SKU, pick quantity, quantity available, item description, unit, bin number &amp; location. Clear the list in cell B2"/>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BinLookup" displayName="BinLookup" ref="B4:G11">
  <autoFilter ref="B4:G11" xr:uid="{00000000-0009-0000-0100-000003000000}"/>
  <tableColumns count="6">
    <tableColumn id="1" xr3:uid="{00000000-0010-0000-0200-000001000000}" name="BIN #" totalsRowLabel="Total" dataCellStyle="Table details left aligned"/>
    <tableColumn id="2" xr3:uid="{00000000-0010-0000-0200-000002000000}" name="DESCRIPTION" dataCellStyle="Table details left aligned"/>
    <tableColumn id="6" xr3:uid="{00000000-0010-0000-0200-000006000000}" name="LOCATION" dataCellStyle="Table details left aligned"/>
    <tableColumn id="3" xr3:uid="{00000000-0010-0000-0200-000003000000}" name="WIDTH" dataCellStyle="Table details center aligned"/>
    <tableColumn id="4" xr3:uid="{00000000-0010-0000-0200-000004000000}" name="HEIGHT" dataCellStyle="Table details center aligned"/>
    <tableColumn id="5" xr3:uid="{00000000-0010-0000-0200-000005000000}" name="LENGTH" totalsRowFunction="sum" dataCellStyle="Table details center aligned"/>
  </tableColumns>
  <tableStyleInfo name="Inventory table" showFirstColumn="0" showLastColumn="0" showRowStripes="1" showColumnStripes="0"/>
  <extLst>
    <ext xmlns:x14="http://schemas.microsoft.com/office/spreadsheetml/2009/9/main" uri="{504A1905-F514-4f6f-8877-14C23A59335A}">
      <x14:table altTextSummary="Details for inventory bins such as, bin number, description, location, width, height and length"/>
    </ext>
  </extLst>
</table>
</file>

<file path=xl/theme/theme1.xml><?xml version="1.0" encoding="utf-8"?>
<a:theme xmlns:a="http://schemas.openxmlformats.org/drawingml/2006/main" name="Office Theme">
  <a:themeElements>
    <a:clrScheme name="Warehouse Inventory">
      <a:dk1>
        <a:sysClr val="windowText" lastClr="000000"/>
      </a:dk1>
      <a:lt1>
        <a:sysClr val="window" lastClr="FFFFFF"/>
      </a:lt1>
      <a:dk2>
        <a:srgbClr val="000000"/>
      </a:dk2>
      <a:lt2>
        <a:srgbClr val="FFFFFF"/>
      </a:lt2>
      <a:accent1>
        <a:srgbClr val="6DB068"/>
      </a:accent1>
      <a:accent2>
        <a:srgbClr val="E1C049"/>
      </a:accent2>
      <a:accent3>
        <a:srgbClr val="77CACD"/>
      </a:accent3>
      <a:accent4>
        <a:srgbClr val="EB862D"/>
      </a:accent4>
      <a:accent5>
        <a:srgbClr val="9062A7"/>
      </a:accent5>
      <a:accent6>
        <a:srgbClr val="EB8688"/>
      </a:accent6>
      <a:hlink>
        <a:srgbClr val="13CACD"/>
      </a:hlink>
      <a:folHlink>
        <a:srgbClr val="9062A7"/>
      </a:folHlink>
    </a:clrScheme>
    <a:fontScheme name="Warehouse Inventory">
      <a:majorFont>
        <a:latin typeface="Franklin Gothic Medium"/>
        <a:ea typeface=""/>
        <a:cs typeface=""/>
      </a:majorFont>
      <a:minorFont>
        <a:latin typeface="Franklin Gothic Medium"/>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openxmlformats.org/officeDocument/2006/relationships/hyperlink" Target="https://go.microsoft.com/fwlink/?linkid=85034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autoPageBreaks="0" fitToPage="1"/>
  </sheetPr>
  <dimension ref="A1:A11"/>
  <sheetViews>
    <sheetView showGridLines="0" zoomScaleNormal="100" workbookViewId="0"/>
  </sheetViews>
  <sheetFormatPr defaultColWidth="7.81640625" defaultRowHeight="20.25" customHeight="1" x14ac:dyDescent="0.35"/>
  <cols>
    <col min="1" max="1" width="2.81640625" style="20" customWidth="1"/>
    <col min="2" max="2" width="28.81640625" style="21" customWidth="1"/>
    <col min="3" max="3" width="78.54296875" style="21" customWidth="1"/>
    <col min="4" max="4" width="2.81640625" style="21" customWidth="1"/>
    <col min="5" max="16384" width="7.81640625" style="21"/>
  </cols>
  <sheetData>
    <row r="1" spans="1:1" ht="20.25" customHeight="1" x14ac:dyDescent="0.35">
      <c r="A1" s="20" t="s">
        <v>122</v>
      </c>
    </row>
    <row r="2" spans="1:1" ht="105" customHeight="1" x14ac:dyDescent="0.35">
      <c r="A2" s="20" t="s">
        <v>124</v>
      </c>
    </row>
    <row r="3" spans="1:1" ht="45" customHeight="1" x14ac:dyDescent="0.35">
      <c r="A3" s="20" t="s">
        <v>123</v>
      </c>
    </row>
    <row r="4" spans="1:1" ht="30" customHeight="1" x14ac:dyDescent="0.35">
      <c r="A4" s="20" t="s">
        <v>58</v>
      </c>
    </row>
    <row r="5" spans="1:1" ht="30" customHeight="1" x14ac:dyDescent="0.35">
      <c r="A5" s="20" t="s">
        <v>55</v>
      </c>
    </row>
    <row r="6" spans="1:1" ht="30" customHeight="1" x14ac:dyDescent="0.35">
      <c r="A6" s="20" t="s">
        <v>59</v>
      </c>
    </row>
    <row r="7" spans="1:1" ht="30" customHeight="1" x14ac:dyDescent="0.35">
      <c r="A7" s="20" t="s">
        <v>60</v>
      </c>
    </row>
    <row r="8" spans="1:1" ht="30" customHeight="1" x14ac:dyDescent="0.35">
      <c r="A8" s="20" t="s">
        <v>61</v>
      </c>
    </row>
    <row r="9" spans="1:1" ht="30" customHeight="1" x14ac:dyDescent="0.35">
      <c r="A9" s="20" t="s">
        <v>62</v>
      </c>
    </row>
    <row r="10" spans="1:1" ht="30" customHeight="1" x14ac:dyDescent="0.35">
      <c r="A10" s="20" t="s">
        <v>54</v>
      </c>
    </row>
    <row r="11" spans="1:1" ht="108.75" customHeight="1" x14ac:dyDescent="0.35">
      <c r="A11" s="20" t="s">
        <v>100</v>
      </c>
    </row>
  </sheetData>
  <hyperlinks>
    <hyperlink ref="A5" location="'Inventory Pick List'!A1" tooltip="Select to view Inventory Pick List worksheet" display="Inventory Pick List worksheet" xr:uid="{00000000-0004-0000-0000-000000000000}"/>
    <hyperlink ref="A6" location="Lookup!A1" tooltip="Select to view Lookup worksheet" display="Lookup worksheet" xr:uid="{00000000-0004-0000-0000-000001000000}"/>
    <hyperlink ref="A4" location="'Inventory List'!A1" tooltip="Select to view Inventory List worksheet" display="Inventory List worksheet" xr:uid="{00000000-0004-0000-0000-000002000000}"/>
    <hyperlink ref="A7" location="'Navigation Links'!A1" tooltip="Select to learn Navigation Links" display="Navigation Links" xr:uid="{00000000-0004-0000-0000-000003000000}"/>
    <hyperlink ref="A8" location="'Conditional Formatting'!A1" tooltip="Select to learn Conditional Formatting" display="Conditional Formatting" xr:uid="{00000000-0004-0000-0000-000004000000}"/>
    <hyperlink ref="A9" location="'Icon Sets'!A1" tooltip="Select to learn Icon Sets" display="Icon Sets" xr:uid="{00000000-0004-0000-0000-000005000000}"/>
    <hyperlink ref="A10" location="'Learn More'!A1" tooltip="Select to Learn More" display="Learn More" xr:uid="{00000000-0004-0000-0000-000006000000}"/>
  </hyperlinks>
  <printOptions horizontalCentered="1"/>
  <pageMargins left="0.7" right="0.7" top="0.75" bottom="0.75" header="0.3" footer="0.3"/>
  <pageSetup fitToHeight="0" orientation="landscape" r:id="rId1"/>
  <headerFooter differentFirst="1">
    <oddFooter>Page &amp;P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InventoryList">
    <tabColor theme="4"/>
    <pageSetUpPr autoPageBreaks="0" fitToPage="1"/>
  </sheetPr>
  <dimension ref="B1:K15"/>
  <sheetViews>
    <sheetView showGridLines="0" tabSelected="1" zoomScaleNormal="100" workbookViewId="0">
      <selection activeCell="C17" sqref="C17"/>
    </sheetView>
  </sheetViews>
  <sheetFormatPr defaultRowHeight="30" customHeight="1" x14ac:dyDescent="0.35"/>
  <cols>
    <col min="1" max="1" width="1.81640625" customWidth="1"/>
    <col min="2" max="2" width="20.81640625" customWidth="1"/>
    <col min="3" max="3" width="27.453125" customWidth="1"/>
    <col min="4" max="4" width="14.08984375" customWidth="1"/>
    <col min="5" max="5" width="21.08984375" customWidth="1"/>
    <col min="6" max="6" width="21.81640625" customWidth="1"/>
    <col min="7" max="7" width="9.453125" customWidth="1"/>
    <col min="8" max="8" width="15.81640625" customWidth="1"/>
    <col min="9" max="9" width="11.81640625" customWidth="1"/>
    <col min="10" max="10" width="18.81640625" customWidth="1"/>
    <col min="11" max="11" width="13.1796875" customWidth="1"/>
    <col min="12" max="13" width="16.08984375" customWidth="1"/>
    <col min="14" max="14" width="11.453125" customWidth="1"/>
  </cols>
  <sheetData>
    <row r="1" spans="2:11" ht="54" customHeight="1" thickBot="1" x14ac:dyDescent="0.55000000000000004">
      <c r="B1" s="5" t="s">
        <v>53</v>
      </c>
      <c r="C1" s="5"/>
      <c r="D1" s="5"/>
      <c r="E1" s="1"/>
      <c r="F1" s="1"/>
      <c r="G1" s="1"/>
      <c r="H1" s="1"/>
      <c r="I1" s="1"/>
      <c r="J1" s="1"/>
      <c r="K1" s="1"/>
    </row>
    <row r="2" spans="2:11" ht="25.2" customHeight="1" x14ac:dyDescent="0.35">
      <c r="B2" s="2" t="s">
        <v>31</v>
      </c>
      <c r="C2" s="4" t="s">
        <v>33</v>
      </c>
      <c r="D2" s="2" t="s">
        <v>32</v>
      </c>
      <c r="E2" s="11" t="s">
        <v>44</v>
      </c>
      <c r="F2" s="11" t="s">
        <v>63</v>
      </c>
    </row>
    <row r="3" spans="2:11" ht="30" customHeight="1" x14ac:dyDescent="0.35">
      <c r="B3" s="12">
        <f>SUM(InventoryList[INVENTORY VALUE])</f>
        <v>4649</v>
      </c>
      <c r="C3" s="13">
        <f>COUNTA(InventoryList[DESCRIPTION])</f>
        <v>11</v>
      </c>
      <c r="D3" s="13">
        <f>SUMPRODUCT((1/COUNTIF(InventoryList[BIN '#],InventoryList[BIN '#]&amp;"")))</f>
        <v>6</v>
      </c>
    </row>
    <row r="4" spans="2:11" ht="17.100000000000001" customHeight="1" x14ac:dyDescent="0.35">
      <c r="B4" s="9" t="s">
        <v>0</v>
      </c>
      <c r="C4" s="9" t="s">
        <v>34</v>
      </c>
      <c r="D4" s="9" t="s">
        <v>35</v>
      </c>
      <c r="E4" s="9" t="s">
        <v>36</v>
      </c>
      <c r="F4" s="9" t="s">
        <v>37</v>
      </c>
      <c r="G4" s="9" t="s">
        <v>38</v>
      </c>
      <c r="H4" s="9" t="s">
        <v>39</v>
      </c>
      <c r="I4" s="9" t="s">
        <v>40</v>
      </c>
      <c r="J4" s="9" t="s">
        <v>41</v>
      </c>
      <c r="K4" s="9" t="s">
        <v>42</v>
      </c>
    </row>
    <row r="5" spans="2:11" ht="30" customHeight="1" x14ac:dyDescent="0.35">
      <c r="B5" s="14" t="s">
        <v>21</v>
      </c>
      <c r="C5" s="14" t="s">
        <v>130</v>
      </c>
      <c r="D5" s="14" t="s">
        <v>1</v>
      </c>
      <c r="E5" s="14" t="str">
        <f>IFERROR(VLOOKUP(InventoryList[[#This Row],[BIN '#]],BinLookup[],3,FALSE),"")</f>
        <v>Row 2, slot 1</v>
      </c>
      <c r="F5" s="14" t="s">
        <v>19</v>
      </c>
      <c r="G5" s="15">
        <v>20</v>
      </c>
      <c r="H5" s="15">
        <v>10</v>
      </c>
      <c r="I5" s="16">
        <v>30</v>
      </c>
      <c r="J5" s="16">
        <f>InventoryList[[#This Row],[QTY]]*InventoryList[[#This Row],[COST]]</f>
        <v>600</v>
      </c>
      <c r="K5" s="6">
        <f>IFERROR(IF(InventoryList[[#This Row],[QTY]]&lt;=InventoryList[[#This Row],[REORDER QTY]],1,0),0)</f>
        <v>0</v>
      </c>
    </row>
    <row r="6" spans="2:11" ht="30" customHeight="1" x14ac:dyDescent="0.35">
      <c r="B6" s="14" t="s">
        <v>22</v>
      </c>
      <c r="C6" s="14" t="s">
        <v>131</v>
      </c>
      <c r="D6" s="14" t="s">
        <v>1</v>
      </c>
      <c r="E6" s="14" t="str">
        <f>IFERROR(VLOOKUP(InventoryList[[#This Row],[BIN '#]],BinLookup[],3,FALSE),"")</f>
        <v>Row 2, slot 1</v>
      </c>
      <c r="F6" s="14" t="s">
        <v>19</v>
      </c>
      <c r="G6" s="15">
        <v>30</v>
      </c>
      <c r="H6" s="15">
        <v>15</v>
      </c>
      <c r="I6" s="16">
        <v>40</v>
      </c>
      <c r="J6" s="16">
        <f>InventoryList[[#This Row],[QTY]]*InventoryList[[#This Row],[COST]]</f>
        <v>1200</v>
      </c>
      <c r="K6" s="6">
        <f>IFERROR(IF(InventoryList[[#This Row],[QTY]]&lt;=InventoryList[[#This Row],[REORDER QTY]],1,0),0)</f>
        <v>0</v>
      </c>
    </row>
    <row r="7" spans="2:11" ht="30" customHeight="1" x14ac:dyDescent="0.35">
      <c r="B7" s="14" t="s">
        <v>23</v>
      </c>
      <c r="C7" s="14" t="s">
        <v>132</v>
      </c>
      <c r="D7" s="14" t="s">
        <v>2</v>
      </c>
      <c r="E7" s="14" t="str">
        <f>IFERROR(VLOOKUP(InventoryList[[#This Row],[BIN '#]],BinLookup[],3,FALSE),"")</f>
        <v>Row 1, slot 1</v>
      </c>
      <c r="F7" s="14" t="s">
        <v>17</v>
      </c>
      <c r="G7" s="15">
        <v>10</v>
      </c>
      <c r="H7" s="15">
        <v>5</v>
      </c>
      <c r="I7" s="16">
        <v>5</v>
      </c>
      <c r="J7" s="16">
        <f>InventoryList[[#This Row],[QTY]]*InventoryList[[#This Row],[COST]]</f>
        <v>50</v>
      </c>
      <c r="K7" s="6">
        <f>IFERROR(IF(InventoryList[[#This Row],[QTY]]&lt;=InventoryList[[#This Row],[REORDER QTY]],1,0),0)</f>
        <v>0</v>
      </c>
    </row>
    <row r="8" spans="2:11" ht="30" customHeight="1" x14ac:dyDescent="0.35">
      <c r="B8" s="14" t="s">
        <v>24</v>
      </c>
      <c r="C8" s="14" t="s">
        <v>133</v>
      </c>
      <c r="D8" s="14" t="s">
        <v>3</v>
      </c>
      <c r="E8" s="14" t="str">
        <f>IFERROR(VLOOKUP(InventoryList[[#This Row],[BIN '#]],BinLookup[],3,FALSE),"")</f>
        <v>Row 3, slot 2</v>
      </c>
      <c r="F8" s="14" t="s">
        <v>17</v>
      </c>
      <c r="G8" s="15">
        <v>40</v>
      </c>
      <c r="H8" s="15">
        <v>10</v>
      </c>
      <c r="I8" s="16">
        <v>15</v>
      </c>
      <c r="J8" s="16">
        <f>InventoryList[[#This Row],[QTY]]*InventoryList[[#This Row],[COST]]</f>
        <v>600</v>
      </c>
      <c r="K8" s="6">
        <f>IFERROR(IF(InventoryList[[#This Row],[QTY]]&lt;=InventoryList[[#This Row],[REORDER QTY]],1,0),0)</f>
        <v>0</v>
      </c>
    </row>
    <row r="9" spans="2:11" ht="30" customHeight="1" x14ac:dyDescent="0.35">
      <c r="B9" s="14" t="s">
        <v>25</v>
      </c>
      <c r="C9" s="14" t="s">
        <v>134</v>
      </c>
      <c r="D9" s="14" t="s">
        <v>4</v>
      </c>
      <c r="E9" s="14" t="str">
        <f>IFERROR(VLOOKUP(InventoryList[[#This Row],[BIN '#]],BinLookup[],3,FALSE),"")</f>
        <v>Row 3, slot 1</v>
      </c>
      <c r="F9" s="14" t="s">
        <v>17</v>
      </c>
      <c r="G9" s="15">
        <v>12</v>
      </c>
      <c r="H9" s="15">
        <v>10</v>
      </c>
      <c r="I9" s="16">
        <v>26</v>
      </c>
      <c r="J9" s="16">
        <f>InventoryList[[#This Row],[QTY]]*InventoryList[[#This Row],[COST]]</f>
        <v>312</v>
      </c>
      <c r="K9" s="6">
        <f>IFERROR(IF(InventoryList[[#This Row],[QTY]]&lt;=InventoryList[[#This Row],[REORDER QTY]],1,0),0)</f>
        <v>0</v>
      </c>
    </row>
    <row r="10" spans="2:11" ht="30" customHeight="1" x14ac:dyDescent="0.35">
      <c r="B10" s="14" t="s">
        <v>26</v>
      </c>
      <c r="C10" s="14" t="s">
        <v>135</v>
      </c>
      <c r="D10" s="14" t="s">
        <v>1</v>
      </c>
      <c r="E10" s="14" t="str">
        <f>IFERROR(VLOOKUP(InventoryList[[#This Row],[BIN '#]],BinLookup[],3,FALSE),"")</f>
        <v>Row 2, slot 1</v>
      </c>
      <c r="F10" s="14" t="s">
        <v>17</v>
      </c>
      <c r="G10" s="15">
        <v>7</v>
      </c>
      <c r="H10" s="15">
        <v>10</v>
      </c>
      <c r="I10" s="16">
        <v>50</v>
      </c>
      <c r="J10" s="16">
        <f>InventoryList[[#This Row],[QTY]]*InventoryList[[#This Row],[COST]]</f>
        <v>350</v>
      </c>
      <c r="K10" s="6">
        <f>IFERROR(IF(InventoryList[[#This Row],[QTY]]&lt;=InventoryList[[#This Row],[REORDER QTY]],1,0),0)</f>
        <v>1</v>
      </c>
    </row>
    <row r="11" spans="2:11" ht="30" customHeight="1" x14ac:dyDescent="0.35">
      <c r="B11" s="14" t="s">
        <v>27</v>
      </c>
      <c r="C11" s="14" t="s">
        <v>136</v>
      </c>
      <c r="D11" s="14" t="s">
        <v>5</v>
      </c>
      <c r="E11" s="14" t="str">
        <f>IFERROR(VLOOKUP(InventoryList[[#This Row],[BIN '#]],BinLookup[],3,FALSE),"")</f>
        <v>Row 1, slot 2</v>
      </c>
      <c r="F11" s="14" t="s">
        <v>17</v>
      </c>
      <c r="G11" s="15">
        <v>10</v>
      </c>
      <c r="H11" s="15">
        <v>5</v>
      </c>
      <c r="I11" s="16">
        <v>10</v>
      </c>
      <c r="J11" s="16">
        <f>InventoryList[[#This Row],[QTY]]*InventoryList[[#This Row],[COST]]</f>
        <v>100</v>
      </c>
      <c r="K11" s="6">
        <f>IFERROR(IF(InventoryList[[#This Row],[QTY]]&lt;=InventoryList[[#This Row],[REORDER QTY]],1,0),0)</f>
        <v>0</v>
      </c>
    </row>
    <row r="12" spans="2:11" ht="30" customHeight="1" x14ac:dyDescent="0.35">
      <c r="B12" s="14" t="s">
        <v>28</v>
      </c>
      <c r="C12" s="14" t="s">
        <v>137</v>
      </c>
      <c r="D12" s="14" t="s">
        <v>2</v>
      </c>
      <c r="E12" s="14" t="str">
        <f>IFERROR(VLOOKUP(InventoryList[[#This Row],[BIN '#]],BinLookup[],3,FALSE),"")</f>
        <v>Row 1, slot 1</v>
      </c>
      <c r="F12" s="14" t="s">
        <v>17</v>
      </c>
      <c r="G12" s="15">
        <v>19</v>
      </c>
      <c r="H12" s="15">
        <v>10</v>
      </c>
      <c r="I12" s="16">
        <v>3</v>
      </c>
      <c r="J12" s="16">
        <f>InventoryList[[#This Row],[QTY]]*InventoryList[[#This Row],[COST]]</f>
        <v>57</v>
      </c>
      <c r="K12" s="6">
        <f>IFERROR(IF(InventoryList[[#This Row],[QTY]]&lt;=InventoryList[[#This Row],[REORDER QTY]],1,0),0)</f>
        <v>0</v>
      </c>
    </row>
    <row r="13" spans="2:11" ht="30" customHeight="1" x14ac:dyDescent="0.35">
      <c r="B13" s="14" t="s">
        <v>29</v>
      </c>
      <c r="C13" s="14" t="s">
        <v>138</v>
      </c>
      <c r="D13" s="14" t="s">
        <v>6</v>
      </c>
      <c r="E13" s="14" t="str">
        <f>IFERROR(VLOOKUP(InventoryList[[#This Row],[BIN '#]],BinLookup[],3,FALSE),"")</f>
        <v>Row 2, slot 2</v>
      </c>
      <c r="F13" s="14" t="s">
        <v>20</v>
      </c>
      <c r="G13" s="15">
        <v>20</v>
      </c>
      <c r="H13" s="15">
        <v>30</v>
      </c>
      <c r="I13" s="16">
        <v>14</v>
      </c>
      <c r="J13" s="16">
        <f>InventoryList[[#This Row],[QTY]]*InventoryList[[#This Row],[COST]]</f>
        <v>280</v>
      </c>
      <c r="K13" s="6">
        <f>IFERROR(IF(InventoryList[[#This Row],[QTY]]&lt;=InventoryList[[#This Row],[REORDER QTY]],1,0),0)</f>
        <v>1</v>
      </c>
    </row>
    <row r="14" spans="2:11" ht="30" customHeight="1" x14ac:dyDescent="0.35">
      <c r="B14" s="14" t="s">
        <v>18</v>
      </c>
      <c r="C14" s="14" t="s">
        <v>139</v>
      </c>
      <c r="D14" s="14" t="s">
        <v>5</v>
      </c>
      <c r="E14" s="14" t="str">
        <f>IFERROR(VLOOKUP(InventoryList[[#This Row],[BIN '#]],BinLookup[],3,FALSE),"")</f>
        <v>Row 1, slot 2</v>
      </c>
      <c r="F14" s="14" t="s">
        <v>20</v>
      </c>
      <c r="G14" s="15">
        <v>15</v>
      </c>
      <c r="H14" s="15">
        <v>8</v>
      </c>
      <c r="I14" s="16">
        <v>60</v>
      </c>
      <c r="J14" s="16">
        <f>InventoryList[[#This Row],[QTY]]*InventoryList[[#This Row],[COST]]</f>
        <v>900</v>
      </c>
      <c r="K14" s="6">
        <f>IFERROR(IF(InventoryList[[#This Row],[QTY]]&lt;=InventoryList[[#This Row],[REORDER QTY]],1,0),0)</f>
        <v>0</v>
      </c>
    </row>
    <row r="15" spans="2:11" ht="30" customHeight="1" x14ac:dyDescent="0.35">
      <c r="B15" s="14" t="s">
        <v>43</v>
      </c>
      <c r="C15" s="14" t="s">
        <v>140</v>
      </c>
      <c r="D15" s="14" t="s">
        <v>5</v>
      </c>
      <c r="E15" s="14" t="str">
        <f>IFERROR(VLOOKUP(InventoryList[[#This Row],[BIN '#]],BinLookup[],3,FALSE),"")</f>
        <v>Row 1, slot 2</v>
      </c>
      <c r="F15" s="14" t="s">
        <v>20</v>
      </c>
      <c r="G15" s="15">
        <v>25</v>
      </c>
      <c r="H15" s="15">
        <v>15</v>
      </c>
      <c r="I15" s="16">
        <v>8</v>
      </c>
      <c r="J15" s="16">
        <f>InventoryList[[#This Row],[QTY]]*InventoryList[[#This Row],[COST]]</f>
        <v>200</v>
      </c>
      <c r="K15" s="6">
        <f>IFERROR(IF(InventoryList[[#This Row],[QTY]]&lt;=InventoryList[[#This Row],[REORDER QTY]],1,0),0)</f>
        <v>0</v>
      </c>
    </row>
  </sheetData>
  <conditionalFormatting sqref="B5:K15">
    <cfRule type="expression" dxfId="3" priority="1">
      <formula>$K5=1</formula>
    </cfRule>
    <cfRule type="expression" dxfId="2" priority="6">
      <formula>"If(blnBinNo=""True"")"</formula>
    </cfRule>
  </conditionalFormatting>
  <conditionalFormatting sqref="J5:J15">
    <cfRule type="dataBar" priority="16">
      <dataBar>
        <cfvo type="min"/>
        <cfvo type="max"/>
        <color theme="2" tint="-0.34998626667073579"/>
      </dataBar>
      <extLst>
        <ext xmlns:x14="http://schemas.microsoft.com/office/spreadsheetml/2009/9/main" uri="{B025F937-C7B1-47D3-B67F-A62EFF666E3E}">
          <x14:id>{B7FAAC13-0945-4497-B308-0378DA16CDD0}</x14:id>
        </ext>
      </extLst>
    </cfRule>
  </conditionalFormatting>
  <dataValidations xWindow="1470" yWindow="373" count="20">
    <dataValidation allowBlank="1" showInputMessage="1" showErrorMessage="1" prompt="This worksheet shows items ready for reordering--automatically flagged in column K. There are 2 navigation links in cells E2 &amp; F2 for Inventory Pick List &amp; Lookup worksheets" sqref="A1" xr:uid="{00000000-0002-0000-0100-000000000000}"/>
    <dataValidation allowBlank="1" showInputMessage="1" showErrorMessage="1" prompt="Automatically calculated total inventory value" sqref="B3" xr:uid="{00000000-0002-0000-0100-000001000000}"/>
    <dataValidation allowBlank="1" showInputMessage="1" showErrorMessage="1" prompt="Automatically calculated bin count" sqref="D3" xr:uid="{00000000-0002-0000-0100-000002000000}"/>
    <dataValidation allowBlank="1" showInputMessage="1" showErrorMessage="1" prompt="Automatically calculated number of inventory items based on their description" sqref="C3" xr:uid="{00000000-0002-0000-0100-000003000000}"/>
    <dataValidation allowBlank="1" showInputMessage="1" showErrorMessage="1" prompt="Enter SKU in this column under this heading" sqref="B4" xr:uid="{00000000-0002-0000-0100-000004000000}"/>
    <dataValidation allowBlank="1" showInputMessage="1" showErrorMessage="1" prompt="Enter Description of item in this column under this heading" sqref="C4" xr:uid="{00000000-0002-0000-0100-000005000000}"/>
    <dataValidation allowBlank="1" showInputMessage="1" showErrorMessage="1" prompt="Select Bin Number from the dropdown list in this column under this heading. Press ALT+DOWN ARROW to open the dropdown list then press ENTER to choose one of the items" sqref="D4" xr:uid="{00000000-0002-0000-0100-000006000000}"/>
    <dataValidation allowBlank="1" showInputMessage="1" showErrorMessage="1" prompt="Location is automatically updated in this column under this heading using the Bin # and information in the Lookup worksheet" sqref="E4" xr:uid="{00000000-0002-0000-0100-000007000000}"/>
    <dataValidation allowBlank="1" showInputMessage="1" showErrorMessage="1" prompt="Enter Unit in this column under this heading" sqref="F4" xr:uid="{00000000-0002-0000-0100-000008000000}"/>
    <dataValidation allowBlank="1" showInputMessage="1" showErrorMessage="1" prompt="Enter Quantity of each item in this column under this heading" sqref="G4" xr:uid="{00000000-0002-0000-0100-000009000000}"/>
    <dataValidation allowBlank="1" showInputMessage="1" showErrorMessage="1" prompt="Enter Reorder Quantity in this column under this heading" sqref="H4" xr:uid="{00000000-0002-0000-0100-00000A000000}"/>
    <dataValidation allowBlank="1" showInputMessage="1" showErrorMessage="1" prompt="Enter Cost of each item in this column under this heading" sqref="I4" xr:uid="{00000000-0002-0000-0100-00000B000000}"/>
    <dataValidation allowBlank="1" showInputMessage="1" showErrorMessage="1" prompt="Inventory Value is automatically calculated in this column under this heading using the QTY (quantity) and COST values from the table" sqref="J4" xr:uid="{00000000-0002-0000-0100-00000C000000}"/>
    <dataValidation allowBlank="1" showInputMessage="1" showErrorMessage="1" prompt="A flag icon in this column under this heading indicates items in inventory ready for reordering" sqref="K4" xr:uid="{00000000-0002-0000-0100-00000D000000}"/>
    <dataValidation type="list" errorStyle="warning" allowBlank="1" showInputMessage="1" showErrorMessage="1" error="This Bin # isn't in the list. Select Yes to retain the entry, Cancel to add it to the table on the Bin Lookup worksheet, which will add the Bin # to this drop down list, or No, then ALT + DOWN ARROW to select from the list" sqref="D5:D15" xr:uid="{00000000-0002-0000-0100-00000E000000}">
      <formula1>BinNumber</formula1>
    </dataValidation>
    <dataValidation allowBlank="1" showInputMessage="1" showErrorMessage="1" prompt="Navigational link to Inventory Pick List worksheet" sqref="E2" xr:uid="{00000000-0002-0000-0100-00000F000000}"/>
    <dataValidation allowBlank="1" showInputMessage="1" showErrorMessage="1" prompt="Navigation link to modify or add items to the Lookup worksheet" sqref="F2" xr:uid="{00000000-0002-0000-0100-000010000000}"/>
    <dataValidation allowBlank="1" showInputMessage="1" showErrorMessage="1" prompt="Total Inventory Value is automatically calculated below" sqref="B2" xr:uid="{00000000-0002-0000-0100-000011000000}"/>
    <dataValidation allowBlank="1" showInputMessage="1" showErrorMessage="1" prompt="Inventory Items are automatically calculated below" sqref="C2" xr:uid="{00000000-0002-0000-0100-000012000000}"/>
    <dataValidation allowBlank="1" showInputMessage="1" showErrorMessage="1" prompt="Bin Count is automatically calculated below" sqref="D2" xr:uid="{00000000-0002-0000-0100-000013000000}"/>
  </dataValidations>
  <hyperlinks>
    <hyperlink ref="E2" location="'Inventory Pick List'!A1" tooltip="Select to view Inventory Pick List worksheet" display="INVENTORY PICK LIST" xr:uid="{00000000-0004-0000-0100-000000000000}"/>
    <hyperlink ref="F2" location="'Bin Lookup'!A1" tooltip="Select to add or modify Bin Lookup information" display="BIN LOOKUP" xr:uid="{00000000-0004-0000-0100-000001000000}"/>
  </hyperlinks>
  <printOptions horizontalCentered="1"/>
  <pageMargins left="0.25" right="0.25" top="0.75" bottom="0.75" header="0.3" footer="0.3"/>
  <pageSetup scale="66"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B7FAAC13-0945-4497-B308-0378DA16CDD0}">
            <x14:dataBar minLength="0" maxLength="100" gradient="0">
              <x14:cfvo type="autoMin"/>
              <x14:cfvo type="autoMax"/>
              <x14:negativeFillColor rgb="FFFF0000"/>
              <x14:axisColor rgb="FF000000"/>
            </x14:dataBar>
          </x14:cfRule>
          <xm:sqref>J5:J15</xm:sqref>
        </x14:conditionalFormatting>
        <x14:conditionalFormatting xmlns:xm="http://schemas.microsoft.com/office/excel/2006/main">
          <x14:cfRule type="iconSet" priority="17" id="{AC6CABC8-B392-410F-BF01-FBE3A7AF244A}">
            <x14:iconSet iconSet="3Flags" custom="1">
              <x14:cfvo type="percent">
                <xm:f>0</xm:f>
              </x14:cfvo>
              <x14:cfvo type="num">
                <xm:f>0</xm:f>
              </x14:cfvo>
              <x14:cfvo type="num">
                <xm:f>1</xm:f>
              </x14:cfvo>
              <x14:cfIcon iconSet="NoIcons" iconId="0"/>
              <x14:cfIcon iconSet="NoIcons" iconId="0"/>
              <x14:cfIcon iconSet="3Flags" iconId="0"/>
            </x14:iconSet>
          </x14:cfRule>
          <xm:sqref>K5:K15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PickList">
    <tabColor theme="4" tint="0.39997558519241921"/>
    <pageSetUpPr autoPageBreaks="0" fitToPage="1"/>
  </sheetPr>
  <dimension ref="B1:I9"/>
  <sheetViews>
    <sheetView showGridLines="0" zoomScaleNormal="100" workbookViewId="0"/>
  </sheetViews>
  <sheetFormatPr defaultRowHeight="30" customHeight="1" x14ac:dyDescent="0.35"/>
  <cols>
    <col min="1" max="1" width="1.81640625" customWidth="1"/>
    <col min="2" max="2" width="20.81640625" customWidth="1"/>
    <col min="3" max="3" width="21.81640625" customWidth="1"/>
    <col min="4" max="4" width="15.81640625" customWidth="1"/>
    <col min="5" max="5" width="17.81640625" customWidth="1"/>
    <col min="6" max="6" width="25.453125" customWidth="1"/>
    <col min="7" max="7" width="14.453125" customWidth="1"/>
    <col min="8" max="8" width="13.453125" customWidth="1"/>
    <col min="9" max="9" width="22.81640625" customWidth="1"/>
  </cols>
  <sheetData>
    <row r="1" spans="2:9" ht="54" customHeight="1" thickBot="1" x14ac:dyDescent="0.55000000000000004">
      <c r="B1" s="5" t="s">
        <v>44</v>
      </c>
      <c r="C1" s="3"/>
      <c r="D1" s="1"/>
      <c r="E1" s="1"/>
      <c r="F1" s="1"/>
      <c r="G1" s="1"/>
      <c r="H1" s="1"/>
      <c r="I1" s="1"/>
    </row>
    <row r="2" spans="2:9" ht="25.2" customHeight="1" x14ac:dyDescent="0.35">
      <c r="B2" s="11"/>
      <c r="C2" s="11" t="s">
        <v>53</v>
      </c>
    </row>
    <row r="3" spans="2:9" ht="30" customHeight="1" x14ac:dyDescent="0.35">
      <c r="B3" s="18"/>
      <c r="C3" s="19"/>
    </row>
    <row r="4" spans="2:9" ht="17.100000000000001" customHeight="1" x14ac:dyDescent="0.35">
      <c r="B4" s="9" t="s">
        <v>49</v>
      </c>
      <c r="C4" s="9" t="s">
        <v>0</v>
      </c>
      <c r="D4" s="9" t="s">
        <v>50</v>
      </c>
      <c r="E4" s="9" t="s">
        <v>51</v>
      </c>
      <c r="F4" s="9" t="s">
        <v>52</v>
      </c>
      <c r="G4" s="9" t="s">
        <v>37</v>
      </c>
      <c r="H4" s="9" t="s">
        <v>35</v>
      </c>
      <c r="I4" s="9" t="s">
        <v>36</v>
      </c>
    </row>
    <row r="5" spans="2:9" ht="30" customHeight="1" x14ac:dyDescent="0.35">
      <c r="B5" s="14" t="s">
        <v>30</v>
      </c>
      <c r="C5" s="14" t="s">
        <v>21</v>
      </c>
      <c r="D5" s="15">
        <v>3</v>
      </c>
      <c r="E5" s="15">
        <f>IFERROR(VLOOKUP(InventoryPickList[[#This Row],[SKU]],InventoryList[],6,FALSE),"")</f>
        <v>20</v>
      </c>
      <c r="F5" s="14" t="str">
        <f>IFERROR(VLOOKUP(InventoryPickList[[#This Row],[SKU]],InventoryList[],2,FALSE),"")</f>
        <v>Battery (AA)</v>
      </c>
      <c r="G5" s="14" t="str">
        <f>IFERROR(VLOOKUP(InventoryPickList[[#This Row],[SKU]],InventoryList[],5,FALSE),"")</f>
        <v>Box (10 ct)</v>
      </c>
      <c r="H5" s="14" t="str">
        <f>IFERROR(VLOOKUP(InventoryPickList[[#This Row],[SKU]],InventoryList[],3,FALSE),"")</f>
        <v>T345</v>
      </c>
      <c r="I5" s="14" t="str">
        <f>IFERROR(VLOOKUP(InventoryPickList[[#This Row],[SKU]],InventoryList[],4,FALSE),"")</f>
        <v>Row 2, slot 1</v>
      </c>
    </row>
    <row r="6" spans="2:9" ht="30" customHeight="1" x14ac:dyDescent="0.35">
      <c r="B6" s="14" t="s">
        <v>30</v>
      </c>
      <c r="C6" s="14" t="s">
        <v>24</v>
      </c>
      <c r="D6" s="15">
        <v>1</v>
      </c>
      <c r="E6" s="15">
        <f>IFERROR(VLOOKUP(InventoryPickList[[#This Row],[SKU]],InventoryList[],6,FALSE),"")</f>
        <v>40</v>
      </c>
      <c r="F6" s="14" t="str">
        <f>IFERROR(VLOOKUP(InventoryPickList[[#This Row],[SKU]],InventoryList[],2,FALSE),"")</f>
        <v>Keyboard</v>
      </c>
      <c r="G6" s="14" t="str">
        <f>IFERROR(VLOOKUP(InventoryPickList[[#This Row],[SKU]],InventoryList[],5,FALSE),"")</f>
        <v>Each</v>
      </c>
      <c r="H6" s="14" t="str">
        <f>IFERROR(VLOOKUP(InventoryPickList[[#This Row],[SKU]],InventoryList[],3,FALSE),"")</f>
        <v>T9876</v>
      </c>
      <c r="I6" s="14" t="str">
        <f>IFERROR(VLOOKUP(InventoryPickList[[#This Row],[SKU]],InventoryList[],4,FALSE),"")</f>
        <v>Row 3, slot 2</v>
      </c>
    </row>
    <row r="7" spans="2:9" ht="30" customHeight="1" x14ac:dyDescent="0.35">
      <c r="B7" s="14" t="s">
        <v>30</v>
      </c>
      <c r="C7" s="14" t="s">
        <v>27</v>
      </c>
      <c r="D7" s="15">
        <v>2</v>
      </c>
      <c r="E7" s="15">
        <f>IFERROR(VLOOKUP(InventoryPickList[[#This Row],[SKU]],InventoryList[],6,FALSE),"")</f>
        <v>10</v>
      </c>
      <c r="F7" s="14" t="str">
        <f>IFERROR(VLOOKUP(InventoryPickList[[#This Row],[SKU]],InventoryList[],2,FALSE),"")</f>
        <v>Monitor Stand</v>
      </c>
      <c r="G7" s="14" t="str">
        <f>IFERROR(VLOOKUP(InventoryPickList[[#This Row],[SKU]],InventoryList[],5,FALSE),"")</f>
        <v>Each</v>
      </c>
      <c r="H7" s="14" t="str">
        <f>IFERROR(VLOOKUP(InventoryPickList[[#This Row],[SKU]],InventoryList[],3,FALSE),"")</f>
        <v>T349</v>
      </c>
      <c r="I7" s="14" t="str">
        <f>IFERROR(VLOOKUP(InventoryPickList[[#This Row],[SKU]],InventoryList[],4,FALSE),"")</f>
        <v>Row 1, slot 2</v>
      </c>
    </row>
    <row r="8" spans="2:9" ht="30" customHeight="1" x14ac:dyDescent="0.35">
      <c r="B8" s="14" t="s">
        <v>30</v>
      </c>
      <c r="C8" s="14" t="s">
        <v>18</v>
      </c>
      <c r="D8" s="15">
        <v>6</v>
      </c>
      <c r="E8" s="15">
        <f>IFERROR(VLOOKUP(InventoryPickList[[#This Row],[SKU]],InventoryList[],6,FALSE),"")</f>
        <v>15</v>
      </c>
      <c r="F8" s="14" t="str">
        <f>IFERROR(VLOOKUP(InventoryPickList[[#This Row],[SKU]],InventoryList[],2,FALSE),"")</f>
        <v>Pen, Red</v>
      </c>
      <c r="G8" s="14" t="str">
        <f>IFERROR(VLOOKUP(InventoryPickList[[#This Row],[SKU]],InventoryList[],5,FALSE),"")</f>
        <v>Package (5 ct)</v>
      </c>
      <c r="H8" s="14" t="str">
        <f>IFERROR(VLOOKUP(InventoryPickList[[#This Row],[SKU]],InventoryList[],3,FALSE),"")</f>
        <v>T349</v>
      </c>
      <c r="I8" s="14" t="str">
        <f>IFERROR(VLOOKUP(InventoryPickList[[#This Row],[SKU]],InventoryList[],4,FALSE),"")</f>
        <v>Row 1, slot 2</v>
      </c>
    </row>
    <row r="9" spans="2:9" ht="30" customHeight="1" x14ac:dyDescent="0.35">
      <c r="B9" s="14" t="s">
        <v>30</v>
      </c>
      <c r="C9" s="14" t="s">
        <v>23</v>
      </c>
      <c r="D9" s="15">
        <v>3</v>
      </c>
      <c r="E9" s="15">
        <f>IFERROR(VLOOKUP(InventoryPickList[[#This Row],[SKU]],InventoryList[],6,FALSE),"")</f>
        <v>10</v>
      </c>
      <c r="F9" s="14" t="str">
        <f>IFERROR(VLOOKUP(InventoryPickList[[#This Row],[SKU]],InventoryList[],2,FALSE),"")</f>
        <v>Monitor</v>
      </c>
      <c r="G9" s="14" t="str">
        <f>IFERROR(VLOOKUP(InventoryPickList[[#This Row],[SKU]],InventoryList[],5,FALSE),"")</f>
        <v>Each</v>
      </c>
      <c r="H9" s="14" t="str">
        <f>IFERROR(VLOOKUP(InventoryPickList[[#This Row],[SKU]],InventoryList[],3,FALSE),"")</f>
        <v>T5789</v>
      </c>
      <c r="I9" s="14" t="str">
        <f>IFERROR(VLOOKUP(InventoryPickList[[#This Row],[SKU]],InventoryList[],4,FALSE),"")</f>
        <v>Row 1, slot 1</v>
      </c>
    </row>
  </sheetData>
  <conditionalFormatting sqref="E5:E9">
    <cfRule type="expression" dxfId="0" priority="7">
      <formula>D5&gt;E5</formula>
    </cfRule>
  </conditionalFormatting>
  <dataValidations count="14">
    <dataValidation type="list" errorStyle="warning" allowBlank="1" showErrorMessage="1" errorTitle="Whoops!" error="Your entry isn't on the Inventory List. You can click Yes to keep it but other inventory information won't automatically be filled in. " sqref="C5:C9" xr:uid="{00000000-0002-0000-0200-000000000000}">
      <formula1>SKULookup</formula1>
    </dataValidation>
    <dataValidation allowBlank="1" showInputMessage="1" showErrorMessage="1" prompt="Use Inventory pick list to track quantity of each SKU needed to fulfill orders. Clear pick list table in cell B2. Navigate to Inventory List worksheet in cell C2" sqref="A1" xr:uid="{00000000-0002-0000-0200-000001000000}"/>
    <dataValidation allowBlank="1" showInputMessage="1" showErrorMessage="1" prompt="Enter Order Number in this column under this heading" sqref="B4" xr:uid="{00000000-0002-0000-0200-000002000000}"/>
    <dataValidation allowBlank="1" showInputMessage="1" showErrorMessage="1" prompt="Select the SKU from the dropdown list in this column under this heading. Press ALT+DOWN ARROW to open the dropdown list then press ENTER to choose one of the items" sqref="C4" xr:uid="{00000000-0002-0000-0200-000003000000}"/>
    <dataValidation allowBlank="1" showInputMessage="1" showErrorMessage="1" prompt="Enter Pick Quantity of items in this column under this heading" sqref="D4" xr:uid="{00000000-0002-0000-0200-000004000000}"/>
    <dataValidation allowBlank="1" showInputMessage="1" showErrorMessage="1" prompt="Quantity Available for each item is automatically calculated in this column under this heading" sqref="E4" xr:uid="{00000000-0002-0000-0200-000005000000}"/>
    <dataValidation allowBlank="1" showInputMessage="1" showErrorMessage="1" prompt="Item Description is automatically updated in this column under this heading" sqref="F4" xr:uid="{00000000-0002-0000-0200-000006000000}"/>
    <dataValidation allowBlank="1" showInputMessage="1" showErrorMessage="1" prompt="Unit is automatically updated in this column under this heading" sqref="G4" xr:uid="{00000000-0002-0000-0200-000007000000}"/>
    <dataValidation allowBlank="1" showInputMessage="1" showErrorMessage="1" prompt="Bin Number is automatically updated in this column under this heading" sqref="H4" xr:uid="{00000000-0002-0000-0200-000008000000}"/>
    <dataValidation allowBlank="1" showInputMessage="1" showErrorMessage="1" prompt="Location is automatically updated in this column under this heading" sqref="I4" xr:uid="{00000000-0002-0000-0200-000009000000}"/>
    <dataValidation type="custom" allowBlank="1" showInputMessage="1" showErrorMessage="1" errorTitle="Whoops!" error="The quantity entered exceeds the Quantity Available. " sqref="D6:D9" xr:uid="{00000000-0002-0000-0200-00000A000000}">
      <formula1>D6&lt;=E6</formula1>
    </dataValidation>
    <dataValidation type="custom" allowBlank="1" showInputMessage="1" showErrorMessage="1" error="The quantity entered exceeds the Quantity Available. Enter a PICK QTY less than the QTY AVAILABLE" sqref="D5" xr:uid="{00000000-0002-0000-0200-00000B000000}">
      <formula1>D5&lt;=E5</formula1>
    </dataValidation>
    <dataValidation allowBlank="1" showInputMessage="1" showErrorMessage="1" prompt="To clear the pick list table in this worksheet, activate the object in B2 or press ALT+F8 and type &quot;ClearPickList&quot; with no spaces, then select RUN" sqref="B2" xr:uid="{00000000-0002-0000-0200-00000C000000}"/>
    <dataValidation allowBlank="1" showInputMessage="1" showErrorMessage="1" prompt="Navigation link to Inventory List worksheet" sqref="C2" xr:uid="{00000000-0002-0000-0200-00000D000000}"/>
  </dataValidations>
  <hyperlinks>
    <hyperlink ref="C2" location="'Inventory List'!A1" tooltip="Select to view Inventory List" display="INVENTORY LIST" xr:uid="{00000000-0004-0000-0200-000000000000}"/>
  </hyperlinks>
  <printOptions horizontalCentered="1"/>
  <pageMargins left="0.25" right="0.25" top="0.75" bottom="0.75" header="0.3" footer="0.3"/>
  <pageSetup scale="75" fitToHeight="0" orientation="landscape" r:id="rId1"/>
  <headerFooter differentFirst="1">
    <oddFooter>Page &amp;P of &amp;N</oddFooter>
  </headerFooter>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BinLookup">
    <tabColor theme="4" tint="-0.499984740745262"/>
    <pageSetUpPr autoPageBreaks="0"/>
  </sheetPr>
  <dimension ref="B1:G11"/>
  <sheetViews>
    <sheetView showGridLines="0" zoomScaleNormal="100" workbookViewId="0"/>
  </sheetViews>
  <sheetFormatPr defaultRowHeight="30" customHeight="1" x14ac:dyDescent="0.35"/>
  <cols>
    <col min="1" max="1" width="1.81640625" customWidth="1"/>
    <col min="2" max="2" width="20.81640625" customWidth="1"/>
    <col min="3" max="3" width="19.453125" customWidth="1"/>
    <col min="4" max="4" width="18.453125" customWidth="1"/>
    <col min="5" max="7" width="11.81640625" customWidth="1"/>
  </cols>
  <sheetData>
    <row r="1" spans="2:7" ht="54" customHeight="1" thickBot="1" x14ac:dyDescent="0.55000000000000004">
      <c r="B1" s="3" t="s">
        <v>48</v>
      </c>
      <c r="C1" s="1"/>
      <c r="D1" s="1"/>
      <c r="E1" s="1"/>
      <c r="F1" s="1"/>
      <c r="G1" s="1"/>
    </row>
    <row r="2" spans="2:7" ht="25.2" customHeight="1" x14ac:dyDescent="0.35">
      <c r="B2" s="11" t="s">
        <v>53</v>
      </c>
    </row>
    <row r="3" spans="2:7" ht="30" customHeight="1" x14ac:dyDescent="0.35">
      <c r="B3" s="10"/>
      <c r="C3" s="10"/>
      <c r="D3" s="10"/>
      <c r="E3" s="10"/>
      <c r="F3" s="10"/>
      <c r="G3" s="10"/>
    </row>
    <row r="4" spans="2:7" ht="17.100000000000001" customHeight="1" x14ac:dyDescent="0.35">
      <c r="B4" s="7" t="s">
        <v>35</v>
      </c>
      <c r="C4" s="7" t="s">
        <v>34</v>
      </c>
      <c r="D4" s="7" t="s">
        <v>36</v>
      </c>
      <c r="E4" s="8" t="s">
        <v>45</v>
      </c>
      <c r="F4" s="8" t="s">
        <v>46</v>
      </c>
      <c r="G4" s="8" t="s">
        <v>47</v>
      </c>
    </row>
    <row r="5" spans="2:7" ht="30" customHeight="1" x14ac:dyDescent="0.35">
      <c r="B5" s="14" t="s">
        <v>1</v>
      </c>
      <c r="C5" s="14" t="s">
        <v>7</v>
      </c>
      <c r="D5" s="17" t="s">
        <v>10</v>
      </c>
      <c r="E5" s="15">
        <v>50</v>
      </c>
      <c r="F5" s="15">
        <v>10</v>
      </c>
      <c r="G5" s="15">
        <v>10</v>
      </c>
    </row>
    <row r="6" spans="2:7" ht="30" customHeight="1" x14ac:dyDescent="0.35">
      <c r="B6" s="14" t="s">
        <v>2</v>
      </c>
      <c r="C6" s="14" t="s">
        <v>8</v>
      </c>
      <c r="D6" s="14" t="s">
        <v>14</v>
      </c>
      <c r="E6" s="15">
        <v>25</v>
      </c>
      <c r="F6" s="15">
        <v>5</v>
      </c>
      <c r="G6" s="15">
        <v>5</v>
      </c>
    </row>
    <row r="7" spans="2:7" ht="30" customHeight="1" x14ac:dyDescent="0.35">
      <c r="B7" s="14" t="s">
        <v>3</v>
      </c>
      <c r="C7" s="14" t="s">
        <v>7</v>
      </c>
      <c r="D7" s="14" t="s">
        <v>11</v>
      </c>
      <c r="E7" s="15">
        <v>50</v>
      </c>
      <c r="F7" s="15">
        <v>10</v>
      </c>
      <c r="G7" s="15">
        <v>10</v>
      </c>
    </row>
    <row r="8" spans="2:7" ht="30" customHeight="1" x14ac:dyDescent="0.35">
      <c r="B8" s="14" t="s">
        <v>4</v>
      </c>
      <c r="C8" s="14" t="s">
        <v>9</v>
      </c>
      <c r="D8" s="14" t="s">
        <v>13</v>
      </c>
      <c r="E8" s="15">
        <v>30</v>
      </c>
      <c r="F8" s="15">
        <v>7</v>
      </c>
      <c r="G8" s="15">
        <v>10</v>
      </c>
    </row>
    <row r="9" spans="2:7" ht="30" customHeight="1" x14ac:dyDescent="0.35">
      <c r="B9" s="14" t="s">
        <v>5</v>
      </c>
      <c r="C9" s="14" t="s">
        <v>8</v>
      </c>
      <c r="D9" s="14" t="s">
        <v>15</v>
      </c>
      <c r="E9" s="15">
        <v>25</v>
      </c>
      <c r="F9" s="15">
        <v>5</v>
      </c>
      <c r="G9" s="15">
        <v>5</v>
      </c>
    </row>
    <row r="10" spans="2:7" ht="30" customHeight="1" x14ac:dyDescent="0.35">
      <c r="B10" s="14" t="s">
        <v>2</v>
      </c>
      <c r="C10" s="14" t="s">
        <v>7</v>
      </c>
      <c r="D10" s="14" t="s">
        <v>12</v>
      </c>
      <c r="E10" s="15">
        <v>50</v>
      </c>
      <c r="F10" s="15">
        <v>10</v>
      </c>
      <c r="G10" s="15">
        <v>10</v>
      </c>
    </row>
    <row r="11" spans="2:7" ht="30" customHeight="1" x14ac:dyDescent="0.35">
      <c r="B11" s="14" t="s">
        <v>6</v>
      </c>
      <c r="C11" s="14" t="s">
        <v>7</v>
      </c>
      <c r="D11" s="14" t="s">
        <v>16</v>
      </c>
      <c r="E11" s="15">
        <v>50</v>
      </c>
      <c r="F11" s="15">
        <v>10</v>
      </c>
      <c r="G11" s="15">
        <v>10</v>
      </c>
    </row>
  </sheetData>
  <dataValidations count="8">
    <dataValidation allowBlank="1" showInputMessage="1" showErrorMessage="1" prompt="This worksheet has a table that provides data for the inventory list and inventory pick list worksheets. A navigation link to the  Inventory List worksheet is in cell B2" sqref="A1" xr:uid="{00000000-0002-0000-0300-000000000000}"/>
    <dataValidation allowBlank="1" showInputMessage="1" showErrorMessage="1" prompt="Enter the Bin Number in this column under this heading" sqref="B4" xr:uid="{00000000-0002-0000-0300-000001000000}"/>
    <dataValidation allowBlank="1" showInputMessage="1" showErrorMessage="1" prompt="Enter a Description of bin in this column under this heading" sqref="C4" xr:uid="{00000000-0002-0000-0300-000002000000}"/>
    <dataValidation allowBlank="1" showInputMessage="1" showErrorMessage="1" prompt="Enter bin Location in this column under this heading" sqref="D4" xr:uid="{00000000-0002-0000-0300-000003000000}"/>
    <dataValidation allowBlank="1" showInputMessage="1" showErrorMessage="1" prompt="Enter bin Width in this column under this heading" sqref="E4" xr:uid="{00000000-0002-0000-0300-000004000000}"/>
    <dataValidation allowBlank="1" showInputMessage="1" showErrorMessage="1" prompt="Enter bin height in this column under this heading" sqref="F4" xr:uid="{00000000-0002-0000-0300-000005000000}"/>
    <dataValidation allowBlank="1" showInputMessage="1" showErrorMessage="1" prompt="Enter bin Length in this column under this heading" sqref="G4" xr:uid="{00000000-0002-0000-0300-000006000000}"/>
    <dataValidation allowBlank="1" showInputMessage="1" showErrorMessage="1" prompt="Navigation link to Inventory List worksheet" sqref="B2" xr:uid="{00000000-0002-0000-0300-000007000000}"/>
  </dataValidations>
  <hyperlinks>
    <hyperlink ref="B2" location="'Inventory List'!A1" tooltip="Select to view Inventory List" display="INVENTORY LIST" xr:uid="{00000000-0004-0000-0300-000000000000}"/>
  </hyperlinks>
  <printOptions horizontalCentered="1"/>
  <pageMargins left="0.25" right="0.25" top="0.75" bottom="0.75" header="0.3" footer="0.3"/>
  <pageSetup orientation="landscape" r:id="rId1"/>
  <headerFooter differentFirst="1">
    <oddFooter>Page &amp;P of &amp;N</oddFooter>
  </headerFooter>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F13"/>
  <sheetViews>
    <sheetView showGridLines="0" workbookViewId="0"/>
  </sheetViews>
  <sheetFormatPr defaultColWidth="8.81640625" defaultRowHeight="20.25" customHeight="1" x14ac:dyDescent="0.35"/>
  <cols>
    <col min="1" max="1" width="2.81640625" style="20" customWidth="1"/>
    <col min="2" max="2" width="5.81640625" style="24" customWidth="1"/>
    <col min="3" max="3" width="49.453125" style="24" customWidth="1"/>
    <col min="4" max="4" width="17" style="24" customWidth="1"/>
    <col min="5" max="5" width="2.1796875" style="24" customWidth="1"/>
    <col min="6" max="6" width="49.08984375" style="24" customWidth="1"/>
    <col min="7" max="16384" width="8.81640625" style="24"/>
  </cols>
  <sheetData>
    <row r="1" spans="1:6" s="27" customFormat="1" ht="20.25" customHeight="1" x14ac:dyDescent="0.35">
      <c r="A1" s="20" t="s">
        <v>81</v>
      </c>
    </row>
    <row r="2" spans="1:6" s="23" customFormat="1" ht="55.2" customHeight="1" thickBot="1" x14ac:dyDescent="0.6">
      <c r="A2" s="20" t="s">
        <v>84</v>
      </c>
      <c r="B2" s="22" t="s">
        <v>60</v>
      </c>
      <c r="C2" s="22"/>
      <c r="D2" s="22"/>
    </row>
    <row r="3" spans="1:6" ht="75" customHeight="1" thickTop="1" x14ac:dyDescent="0.35">
      <c r="A3" s="20" t="s">
        <v>85</v>
      </c>
      <c r="B3" s="34" t="s">
        <v>65</v>
      </c>
      <c r="C3" s="34"/>
      <c r="D3" s="34"/>
      <c r="F3" s="31" t="s">
        <v>64</v>
      </c>
    </row>
    <row r="4" spans="1:6" ht="50.1" customHeight="1" x14ac:dyDescent="0.35">
      <c r="A4" s="20" t="s">
        <v>86</v>
      </c>
      <c r="B4" s="29">
        <v>1</v>
      </c>
      <c r="C4" s="25" t="s">
        <v>66</v>
      </c>
      <c r="D4" s="25"/>
      <c r="F4" s="31"/>
    </row>
    <row r="5" spans="1:6" ht="35.700000000000003" customHeight="1" x14ac:dyDescent="0.35">
      <c r="A5" s="20" t="s">
        <v>102</v>
      </c>
      <c r="B5" s="29">
        <v>2</v>
      </c>
      <c r="C5" s="25" t="s">
        <v>101</v>
      </c>
      <c r="D5" s="25"/>
      <c r="F5" s="31"/>
    </row>
    <row r="6" spans="1:6" ht="80.099999999999994" customHeight="1" x14ac:dyDescent="0.35">
      <c r="A6" s="20" t="s">
        <v>87</v>
      </c>
      <c r="B6" s="29">
        <v>3</v>
      </c>
      <c r="C6" s="25" t="s">
        <v>67</v>
      </c>
      <c r="D6" s="25"/>
      <c r="F6"/>
    </row>
    <row r="7" spans="1:6" ht="35.1" customHeight="1" x14ac:dyDescent="0.35">
      <c r="A7" s="20" t="s">
        <v>88</v>
      </c>
      <c r="B7" s="29">
        <v>4</v>
      </c>
      <c r="C7" s="25" t="s">
        <v>56</v>
      </c>
      <c r="D7" s="25"/>
    </row>
    <row r="8" spans="1:6" ht="35.1" customHeight="1" x14ac:dyDescent="0.35">
      <c r="A8" s="20" t="s">
        <v>127</v>
      </c>
      <c r="B8" s="29"/>
      <c r="C8" s="25" t="s">
        <v>126</v>
      </c>
      <c r="D8" s="25"/>
    </row>
    <row r="9" spans="1:6" ht="35.1" customHeight="1" x14ac:dyDescent="0.35">
      <c r="A9" s="20" t="s">
        <v>114</v>
      </c>
      <c r="B9" s="29"/>
      <c r="C9" s="25" t="s">
        <v>109</v>
      </c>
      <c r="D9" s="25"/>
    </row>
    <row r="10" spans="1:6" ht="25.2" customHeight="1" x14ac:dyDescent="0.35">
      <c r="A10" s="20" t="s">
        <v>115</v>
      </c>
      <c r="B10" s="29"/>
      <c r="C10" s="25" t="s">
        <v>110</v>
      </c>
      <c r="D10" s="25"/>
    </row>
    <row r="11" spans="1:6" ht="35.1" customHeight="1" x14ac:dyDescent="0.35">
      <c r="A11" s="20" t="s">
        <v>116</v>
      </c>
      <c r="B11" s="29"/>
      <c r="C11" s="25" t="s">
        <v>111</v>
      </c>
      <c r="D11" s="25"/>
    </row>
    <row r="12" spans="1:6" ht="35.1" customHeight="1" x14ac:dyDescent="0.35">
      <c r="A12" s="20" t="s">
        <v>107</v>
      </c>
      <c r="B12" s="29"/>
      <c r="C12" s="25" t="s">
        <v>112</v>
      </c>
      <c r="D12" s="25"/>
    </row>
    <row r="13" spans="1:6" ht="62.25" customHeight="1" x14ac:dyDescent="0.35">
      <c r="A13" s="20" t="s">
        <v>108</v>
      </c>
      <c r="B13" s="29"/>
      <c r="C13" s="25" t="s">
        <v>113</v>
      </c>
      <c r="D13" s="25"/>
    </row>
  </sheetData>
  <mergeCells count="1">
    <mergeCell ref="B3:D3"/>
  </mergeCells>
  <dataValidations count="3">
    <dataValidation allowBlank="1" showInputMessage="1" showErrorMessage="1" prompt="Image in cells F3 through F5 is of two navigation buttons from Inventory List worksheet" sqref="F3" xr:uid="{00000000-0002-0000-0400-000000000000}"/>
    <dataValidation allowBlank="1" showInputMessage="1" showErrorMessage="1" prompt="Image of screentip for the navigation button &quot;Inventory Pick List&quot; on Warehouse Inventory List worksheet" sqref="F7" xr:uid="{00000000-0002-0000-0400-000001000000}"/>
    <dataValidation allowBlank="1" showInputMessage="1" showErrorMessage="1" prompt="Screen tip example image is in this cell. Text reads &quot;Select to view Inventory Pick List worksheet&quot;" sqref="F5" xr:uid="{00000000-0002-0000-0400-000002000000}"/>
  </dataValidations>
  <printOptions horizontalCentered="1"/>
  <pageMargins left="0.7" right="0.7" top="0.75" bottom="0.75" header="0.3" footer="0.3"/>
  <pageSetup scale="62" fitToHeight="0" orientation="portrait" r:id="rId1"/>
  <headerFooter differentFirst="1">
    <oddFooter>Page &amp;P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F7"/>
  <sheetViews>
    <sheetView showGridLines="0" topLeftCell="D1" workbookViewId="0">
      <selection activeCell="D1" sqref="D1"/>
    </sheetView>
  </sheetViews>
  <sheetFormatPr defaultColWidth="9.81640625" defaultRowHeight="20.25" customHeight="1" x14ac:dyDescent="0.35"/>
  <cols>
    <col min="1" max="1" width="2.81640625" style="20" customWidth="1"/>
    <col min="2" max="2" width="6.81640625" style="28" customWidth="1"/>
    <col min="3" max="3" width="55.81640625" style="28" customWidth="1"/>
    <col min="4" max="4" width="19.08984375" style="28" customWidth="1"/>
    <col min="5" max="5" width="2.81640625" style="28" customWidth="1"/>
    <col min="6" max="6" width="114.81640625" style="28" customWidth="1"/>
    <col min="7" max="7" width="2.81640625" style="28" customWidth="1"/>
    <col min="8" max="16384" width="9.81640625" style="28"/>
  </cols>
  <sheetData>
    <row r="1" spans="1:6" s="27" customFormat="1" ht="20.25" customHeight="1" x14ac:dyDescent="0.35">
      <c r="A1" s="20" t="s">
        <v>82</v>
      </c>
    </row>
    <row r="2" spans="1:6" s="26" customFormat="1" ht="55.2" customHeight="1" thickBot="1" x14ac:dyDescent="0.6">
      <c r="A2" s="20" t="s">
        <v>89</v>
      </c>
      <c r="B2" s="22" t="s">
        <v>61</v>
      </c>
      <c r="C2" s="22"/>
      <c r="D2" s="22"/>
      <c r="F2"/>
    </row>
    <row r="3" spans="1:6" ht="75" customHeight="1" thickTop="1" x14ac:dyDescent="0.35">
      <c r="A3" s="20" t="s">
        <v>90</v>
      </c>
      <c r="B3" s="34" t="s">
        <v>69</v>
      </c>
      <c r="C3" s="34"/>
      <c r="D3" s="34"/>
      <c r="F3" s="31" t="s">
        <v>68</v>
      </c>
    </row>
    <row r="4" spans="1:6" ht="65.099999999999994" customHeight="1" x14ac:dyDescent="0.35">
      <c r="A4" s="20" t="s">
        <v>91</v>
      </c>
      <c r="B4" s="29">
        <v>1</v>
      </c>
      <c r="C4" s="31" t="s">
        <v>57</v>
      </c>
      <c r="D4" s="25"/>
      <c r="F4" s="31"/>
    </row>
    <row r="5" spans="1:6" ht="25.2" customHeight="1" x14ac:dyDescent="0.35">
      <c r="A5" s="20" t="s">
        <v>104</v>
      </c>
      <c r="B5" s="29">
        <v>3</v>
      </c>
      <c r="C5" s="31" t="s">
        <v>103</v>
      </c>
      <c r="D5" s="25"/>
      <c r="F5" s="31"/>
    </row>
    <row r="6" spans="1:6" ht="35.1" customHeight="1" x14ac:dyDescent="0.35">
      <c r="A6" s="20" t="s">
        <v>118</v>
      </c>
      <c r="B6" s="29">
        <v>4</v>
      </c>
      <c r="C6" s="33" t="s">
        <v>117</v>
      </c>
      <c r="D6" s="25"/>
      <c r="F6" s="31"/>
    </row>
    <row r="7" spans="1:6" ht="52.2" customHeight="1" x14ac:dyDescent="0.35">
      <c r="A7" s="20" t="s">
        <v>120</v>
      </c>
      <c r="B7" s="29">
        <v>5</v>
      </c>
      <c r="C7" s="31" t="s">
        <v>119</v>
      </c>
      <c r="D7" s="31"/>
      <c r="F7" s="32"/>
    </row>
  </sheetData>
  <mergeCells count="1">
    <mergeCell ref="B3:D3"/>
  </mergeCells>
  <dataValidations count="1">
    <dataValidation allowBlank="1" showInputMessage="1" showErrorMessage="1" prompt="Items for reording are highlighted in the image in cells F3 through F7" sqref="F3" xr:uid="{00000000-0002-0000-0500-000000000000}"/>
  </dataValidations>
  <printOptions horizontalCentered="1"/>
  <pageMargins left="0.7" right="0.7" top="0.75" bottom="0.75" header="0.3" footer="0.3"/>
  <pageSetup scale="38" fitToHeight="0" orientation="portrait" r:id="rId1"/>
  <headerFooter differentFirst="1">
    <oddFooter>Page &amp;P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F13"/>
  <sheetViews>
    <sheetView showGridLines="0" workbookViewId="0"/>
  </sheetViews>
  <sheetFormatPr defaultColWidth="9.81640625" defaultRowHeight="20.25" customHeight="1" x14ac:dyDescent="0.35"/>
  <cols>
    <col min="1" max="1" width="2.81640625" style="20" customWidth="1"/>
    <col min="2" max="2" width="6.81640625" style="28" customWidth="1"/>
    <col min="3" max="3" width="55.81640625" style="28" customWidth="1"/>
    <col min="4" max="4" width="19.08984375" style="28" customWidth="1"/>
    <col min="5" max="5" width="2.81640625" style="28" customWidth="1"/>
    <col min="6" max="6" width="29" customWidth="1"/>
    <col min="7" max="7" width="2.81640625" style="28" customWidth="1"/>
    <col min="8" max="16384" width="9.81640625" style="28"/>
  </cols>
  <sheetData>
    <row r="1" spans="1:6" s="27" customFormat="1" ht="20.25" customHeight="1" x14ac:dyDescent="0.35">
      <c r="A1" s="20" t="s">
        <v>83</v>
      </c>
      <c r="F1"/>
    </row>
    <row r="2" spans="1:6" s="26" customFormat="1" ht="55.2" customHeight="1" thickBot="1" x14ac:dyDescent="0.6">
      <c r="A2" s="20" t="s">
        <v>92</v>
      </c>
      <c r="B2" s="22" t="s">
        <v>62</v>
      </c>
      <c r="C2" s="22"/>
      <c r="D2" s="22"/>
      <c r="F2"/>
    </row>
    <row r="3" spans="1:6" ht="75" customHeight="1" thickTop="1" x14ac:dyDescent="0.35">
      <c r="A3" s="20" t="s">
        <v>129</v>
      </c>
      <c r="B3" s="34" t="s">
        <v>128</v>
      </c>
      <c r="C3" s="34"/>
      <c r="D3" s="34"/>
      <c r="F3" s="31" t="s">
        <v>70</v>
      </c>
    </row>
    <row r="4" spans="1:6" ht="50.1" customHeight="1" x14ac:dyDescent="0.35">
      <c r="A4" s="20" t="s">
        <v>106</v>
      </c>
      <c r="B4" s="29">
        <v>1</v>
      </c>
      <c r="C4" s="31" t="s">
        <v>105</v>
      </c>
      <c r="D4" s="31"/>
      <c r="F4" s="31"/>
    </row>
    <row r="5" spans="1:6" ht="50.1" customHeight="1" x14ac:dyDescent="0.35">
      <c r="A5" s="20" t="s">
        <v>93</v>
      </c>
      <c r="B5" s="29">
        <v>2</v>
      </c>
      <c r="C5" s="31" t="s">
        <v>71</v>
      </c>
      <c r="D5" s="31"/>
      <c r="F5" s="31"/>
    </row>
    <row r="6" spans="1:6" s="30" customFormat="1" ht="50.1" customHeight="1" x14ac:dyDescent="0.35">
      <c r="A6" s="20" t="s">
        <v>73</v>
      </c>
      <c r="B6" s="29"/>
      <c r="C6" s="31" t="s">
        <v>73</v>
      </c>
      <c r="D6" s="31"/>
      <c r="F6"/>
    </row>
    <row r="7" spans="1:6" ht="65.099999999999994" customHeight="1" x14ac:dyDescent="0.35">
      <c r="A7" s="20" t="s">
        <v>94</v>
      </c>
      <c r="B7" s="29">
        <v>3</v>
      </c>
      <c r="C7" s="31" t="s">
        <v>74</v>
      </c>
      <c r="D7" s="31"/>
      <c r="F7" s="31" t="s">
        <v>72</v>
      </c>
    </row>
    <row r="8" spans="1:6" s="30" customFormat="1" ht="50.1" customHeight="1" x14ac:dyDescent="0.35">
      <c r="A8" s="20" t="s">
        <v>79</v>
      </c>
      <c r="B8" s="29"/>
      <c r="C8" s="31" t="s">
        <v>75</v>
      </c>
      <c r="D8" s="31"/>
      <c r="F8" s="31"/>
    </row>
    <row r="9" spans="1:6" ht="35.1" customHeight="1" x14ac:dyDescent="0.35">
      <c r="A9" s="20" t="s">
        <v>95</v>
      </c>
      <c r="B9" s="29">
        <v>4</v>
      </c>
      <c r="C9" s="31" t="s">
        <v>121</v>
      </c>
      <c r="D9" s="31"/>
    </row>
    <row r="10" spans="1:6" ht="35.1" customHeight="1" x14ac:dyDescent="0.35">
      <c r="A10" s="20" t="s">
        <v>96</v>
      </c>
      <c r="B10" s="29">
        <v>5</v>
      </c>
      <c r="C10" s="31" t="s">
        <v>76</v>
      </c>
      <c r="D10" s="31"/>
    </row>
    <row r="11" spans="1:6" ht="25.2" customHeight="1" x14ac:dyDescent="0.35">
      <c r="A11" s="20" t="s">
        <v>77</v>
      </c>
      <c r="B11" s="29"/>
      <c r="C11" s="31" t="s">
        <v>77</v>
      </c>
      <c r="D11" s="31"/>
      <c r="F11" s="30"/>
    </row>
    <row r="12" spans="1:6" ht="35.1" customHeight="1" x14ac:dyDescent="0.35">
      <c r="A12" s="20" t="s">
        <v>78</v>
      </c>
      <c r="B12" s="29"/>
      <c r="C12" s="31" t="s">
        <v>78</v>
      </c>
      <c r="D12" s="31"/>
      <c r="F12" s="30"/>
    </row>
    <row r="13" spans="1:6" ht="50.1" customHeight="1" x14ac:dyDescent="0.35">
      <c r="A13" s="20" t="s">
        <v>97</v>
      </c>
      <c r="B13" s="29"/>
      <c r="C13" s="31" t="s">
        <v>80</v>
      </c>
      <c r="D13" s="31"/>
    </row>
  </sheetData>
  <mergeCells count="1">
    <mergeCell ref="B3:D3"/>
  </mergeCells>
  <dataValidations xWindow="1020" yWindow="408" count="3">
    <dataValidation allowBlank="1" showInputMessage="1" showErrorMessage="1" prompt="Image of column K from Inventory List showing a flag icon set and Reorder text is in cells F3 through F5" sqref="F3" xr:uid="{00000000-0002-0000-0600-000000000000}"/>
    <dataValidation allowBlank="1" showInputMessage="1" showErrorMessage="1" prompt="A sample input message image is in cells F7 through F9 reads: &quot;A flag icon in this column indicates items in inventory ready for reordering&quot;" sqref="F8" xr:uid="{00000000-0002-0000-0600-000001000000}"/>
    <dataValidation allowBlank="1" showInputMessage="1" showErrorMessage="1" prompt="A sample input message image is in cells F7 through F8 reads: &quot;A flag icon in this column indicates items in inventory ready for reordering&quot;" sqref="F7" xr:uid="{00000000-0002-0000-0600-000002000000}"/>
  </dataValidations>
  <printOptions horizontalCentered="1"/>
  <pageMargins left="0.7" right="0.7" top="0.75" bottom="0.75" header="0.3" footer="0.3"/>
  <pageSetup scale="67" fitToHeight="0" orientation="portrait" r:id="rId1"/>
  <headerFooter differentFirst="1">
    <oddFooter>Page &amp;P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pageSetUpPr autoPageBreaks="0" fitToPage="1"/>
  </sheetPr>
  <dimension ref="A1:A3"/>
  <sheetViews>
    <sheetView showGridLines="0" workbookViewId="0"/>
  </sheetViews>
  <sheetFormatPr defaultColWidth="7.81640625" defaultRowHeight="20.25" customHeight="1" x14ac:dyDescent="0.35"/>
  <cols>
    <col min="1" max="1" width="2.1796875" style="20" customWidth="1"/>
    <col min="2" max="2" width="83.453125" style="21" customWidth="1"/>
    <col min="3" max="3" width="2.1796875" style="21" customWidth="1"/>
    <col min="4" max="16384" width="7.81640625" style="21"/>
  </cols>
  <sheetData>
    <row r="1" spans="1:1" ht="20.25" customHeight="1" x14ac:dyDescent="0.35">
      <c r="A1" s="20" t="s">
        <v>125</v>
      </c>
    </row>
    <row r="2" spans="1:1" ht="77.099999999999994" customHeight="1" x14ac:dyDescent="0.35">
      <c r="A2" s="20" t="s">
        <v>99</v>
      </c>
    </row>
    <row r="3" spans="1:1" ht="81" customHeight="1" x14ac:dyDescent="0.35">
      <c r="A3" s="20" t="s">
        <v>98</v>
      </c>
    </row>
  </sheetData>
  <hyperlinks>
    <hyperlink ref="A3" r:id="rId1" tooltip="How to make Excel spreadsheets accessible" xr:uid="{00000000-0004-0000-0700-000000000000}"/>
  </hyperlinks>
  <printOptions horizontalCentered="1"/>
  <pageMargins left="0.7" right="0.7" top="0.75" bottom="0.75" header="0.3" footer="0.3"/>
  <pageSetup fitToHeight="0" orientation="portrait" r:id="rId2"/>
  <headerFooter differentFirst="1">
    <oddFooter>Page &amp;P of &amp;N</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8</vt:i4>
      </vt:variant>
    </vt:vector>
  </HeadingPairs>
  <TitlesOfParts>
    <vt:vector size="16" baseType="lpstr">
      <vt:lpstr>Start</vt:lpstr>
      <vt:lpstr>Inventory List</vt:lpstr>
      <vt:lpstr>Inventory Pick List</vt:lpstr>
      <vt:lpstr>Lookup</vt:lpstr>
      <vt:lpstr>Navigation Links</vt:lpstr>
      <vt:lpstr>Conditional Formatting</vt:lpstr>
      <vt:lpstr>Icon Sets</vt:lpstr>
      <vt:lpstr>Learn More</vt:lpstr>
      <vt:lpstr>BinNumber</vt:lpstr>
      <vt:lpstr>ColumnTitle1</vt:lpstr>
      <vt:lpstr>ColumnTitle2</vt:lpstr>
      <vt:lpstr>ColumnTitle3</vt:lpstr>
      <vt:lpstr>'Inventory List'!Print_Titles</vt:lpstr>
      <vt:lpstr>'Inventory Pick List'!Print_Titles</vt:lpstr>
      <vt:lpstr>Lookup!Print_Titles</vt:lpstr>
      <vt:lpstr>SKULookup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2020-02-24T18:08:24Z</dcterms:created>
  <dcterms:modified xsi:type="dcterms:W3CDTF">2021-01-20T00:02:56Z</dcterms:modified>
</cp:coreProperties>
</file>